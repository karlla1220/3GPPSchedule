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hkyok\Documents\TSGR4_120bis\Inbox\Meeting_Arrangements\"/>
    </mc:Choice>
  </mc:AlternateContent>
  <xr:revisionPtr revIDLastSave="0" documentId="13_ncr:1_{D7AF97AD-5EE4-4B97-AB40-E95C8E0BB158}" xr6:coauthVersionLast="47" xr6:coauthVersionMax="47" xr10:uidLastSave="{00000000-0000-0000-0000-000000000000}"/>
  <bookViews>
    <workbookView xWindow="-110" yWindow="-110" windowWidth="19420" windowHeight="11500" xr2:uid="{00000000-000D-0000-FFFF-FFFF00000000}"/>
  </bookViews>
  <sheets>
    <sheet name="Main session" sheetId="15" r:id="rId1"/>
    <sheet name="Shan session" sheetId="16" r:id="rId2"/>
    <sheet name="Gene session" sheetId="17" r:id="rId3"/>
  </sheets>
  <externalReferences>
    <externalReference r:id="rId4"/>
  </externalReferences>
  <definedNames>
    <definedName name="MeetingNumber">[1]Settings!$B$2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5" l="1"/>
  <c r="C19" i="15"/>
  <c r="C2" i="16"/>
  <c r="C4" i="16"/>
  <c r="C5" i="16"/>
  <c r="C6" i="16"/>
  <c r="C7" i="16"/>
  <c r="C8" i="16"/>
  <c r="C9" i="16"/>
  <c r="C10" i="16"/>
  <c r="C11" i="16"/>
  <c r="C12" i="16"/>
  <c r="C14" i="16"/>
  <c r="C15" i="16"/>
  <c r="C16" i="16"/>
  <c r="C17" i="16"/>
  <c r="C19" i="16"/>
  <c r="C20" i="16"/>
  <c r="C22" i="16"/>
  <c r="C24" i="16"/>
  <c r="C26" i="16"/>
  <c r="C15" i="15" l="1"/>
  <c r="C14" i="15"/>
  <c r="C12" i="15"/>
  <c r="C11" i="15"/>
  <c r="C10" i="15"/>
  <c r="C9" i="15"/>
  <c r="C8" i="15"/>
  <c r="C7" i="15"/>
  <c r="C6" i="15"/>
  <c r="C5" i="15"/>
  <c r="C4" i="15"/>
  <c r="C17" i="15"/>
  <c r="C23" i="15" l="1"/>
  <c r="C24" i="15" l="1"/>
  <c r="C22" i="15"/>
  <c r="C21" i="15"/>
  <c r="C2"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 Fong</author>
  </authors>
  <commentList>
    <comment ref="A5" authorId="0" shapeId="0" xr:uid="{834EE34D-4CEC-4FBB-A5E9-2807203F75D8}">
      <text>
        <r>
          <rPr>
            <b/>
            <sz val="9"/>
            <color indexed="81"/>
            <rFont val="Tahoma"/>
            <family val="2"/>
          </rPr>
          <t>Gene Fong:</t>
        </r>
        <r>
          <rPr>
            <sz val="9"/>
            <color indexed="81"/>
            <rFont val="Tahoma"/>
            <family val="2"/>
          </rPr>
          <t xml:space="preserve">
</t>
        </r>
      </text>
    </comment>
    <comment ref="A7" authorId="0" shapeId="0" xr:uid="{CC8D9D3E-A9C0-476B-A266-8B81023D6B21}">
      <text>
        <r>
          <rPr>
            <b/>
            <sz val="9"/>
            <color indexed="81"/>
            <rFont val="Tahoma"/>
            <family val="2"/>
          </rPr>
          <t>Gene Fong:</t>
        </r>
        <r>
          <rPr>
            <sz val="9"/>
            <color indexed="81"/>
            <rFont val="Tahoma"/>
            <family val="2"/>
          </rPr>
          <t xml:space="preserve">
</t>
        </r>
      </text>
    </comment>
  </commentList>
</comments>
</file>

<file path=xl/sharedStrings.xml><?xml version="1.0" encoding="utf-8"?>
<sst xmlns="http://schemas.openxmlformats.org/spreadsheetml/2006/main" count="561" uniqueCount="467">
  <si>
    <t>Title</t>
  </si>
  <si>
    <t>WI</t>
  </si>
  <si>
    <t>Topic areas</t>
  </si>
  <si>
    <t>Notes</t>
  </si>
  <si>
    <t>Topic title</t>
    <phoneticPr fontId="6" type="noConversion"/>
  </si>
  <si>
    <t>AI covered in the topic thread</t>
    <phoneticPr fontId="6" type="noConversion"/>
  </si>
  <si>
    <t>Type</t>
  </si>
  <si>
    <t>Main Session</t>
    <phoneticPr fontId="6" type="noConversion"/>
  </si>
  <si>
    <t>N.A</t>
    <phoneticPr fontId="6" type="noConversion"/>
  </si>
  <si>
    <t>Chair announcements for main session, such as meeting report update, meeting schedule and etc.</t>
    <phoneticPr fontId="6" type="noConversion"/>
  </si>
  <si>
    <t>108</t>
  </si>
  <si>
    <t>111</t>
  </si>
  <si>
    <t>112</t>
  </si>
  <si>
    <t>FS_6G_Radio</t>
  </si>
  <si>
    <t>6G SI</t>
  </si>
  <si>
    <t>6G spectrum sharing</t>
  </si>
  <si>
    <t>6G operation efficiency</t>
  </si>
  <si>
    <t>8.9</t>
  </si>
  <si>
    <t>8.12</t>
  </si>
  <si>
    <t>8.1</t>
  </si>
  <si>
    <t xml:space="preserve">NWM
</t>
  </si>
  <si>
    <t>114</t>
  </si>
  <si>
    <t>Summary agenda</t>
  </si>
  <si>
    <t>Aijun Cao</t>
  </si>
  <si>
    <t>Closed  Rel-19 Wis, TEI19</t>
  </si>
  <si>
    <t>Closed  Rel-19 Wis</t>
  </si>
  <si>
    <t>4.1.1</t>
  </si>
  <si>
    <t>115</t>
  </si>
  <si>
    <t>116</t>
  </si>
  <si>
    <t>R19_UERF_maintenance_Part2</t>
  </si>
  <si>
    <t>R19 Spectrum WI maintenance</t>
  </si>
  <si>
    <t>Rel-19 non-spectrum WI maintenance</t>
  </si>
  <si>
    <t>R19_UERF_maintenance_Part1</t>
  </si>
  <si>
    <t>NWM</t>
  </si>
  <si>
    <t>2, 3</t>
  </si>
  <si>
    <t>Yang Tang</t>
  </si>
  <si>
    <t>Leo Liu</t>
  </si>
  <si>
    <t xml:space="preserve">Toni Laehteensuo </t>
  </si>
  <si>
    <t>Jerry Cui</t>
  </si>
  <si>
    <t>Jackson Wang</t>
  </si>
  <si>
    <t>Jingjing Chen</t>
  </si>
  <si>
    <t>117</t>
  </si>
  <si>
    <t>6G Feature lead/5G Moderator</t>
  </si>
  <si>
    <t>Tina Zhang</t>
  </si>
  <si>
    <t>NWM</t>
    <phoneticPr fontId="6" type="noConversion"/>
  </si>
  <si>
    <t>Upto_R17_UERF_maintenance</t>
  </si>
  <si>
    <t xml:space="preserve">Closed WIs upto Rel-17
</t>
  </si>
  <si>
    <t xml:space="preserve">Jinqiang Xing
</t>
  </si>
  <si>
    <t xml:space="preserve">Haijie Qiu
</t>
  </si>
  <si>
    <t>Closed Rel-18 Wis</t>
  </si>
  <si>
    <t xml:space="preserve">10.2.1
10.2.2
10.8
</t>
  </si>
  <si>
    <t>10.2.3
10.7
10.9</t>
  </si>
  <si>
    <t xml:space="preserve">10.2.1	Up to Rel-16 maintenance
10.2.2 Rel-17 maintenance
10.8	Rel-16/17 TEI and others (EMC, OTA, and TRP/TRS)
</t>
  </si>
  <si>
    <t>10.2.3 Rel-18 maintenance
10.7	Rel-18 Spectrum related WI maintenance
10.9.1	TEI18 UE RF related topics (other than NTN)</t>
  </si>
  <si>
    <t xml:space="preserve">Bo Liu
</t>
  </si>
  <si>
    <t>101-B</t>
  </si>
  <si>
    <t>101-A</t>
  </si>
  <si>
    <t>6G system parameter: waveform (including PA model), channel bandwidth, others</t>
  </si>
  <si>
    <t>6G system parameter: modulation, channel arrangement, min max CBW for device type</t>
  </si>
  <si>
    <t>102-A</t>
  </si>
  <si>
    <t>102-B</t>
  </si>
  <si>
    <t>6G general RF and UE RF: output power requirements, Tx/Rx requirements</t>
  </si>
  <si>
    <t>6G general RF and UE RF: joint UE-BS RF, spectrum aggregation, others</t>
  </si>
  <si>
    <t>104-A</t>
  </si>
  <si>
    <t>104-B</t>
  </si>
  <si>
    <t xml:space="preserve">Johannes Hejselbaek
</t>
  </si>
  <si>
    <t>6G system parameter (part I)</t>
  </si>
  <si>
    <t>6G system parameter (part II)</t>
  </si>
  <si>
    <t>6G general RF and UE RF (part I)</t>
  </si>
  <si>
    <t>6G general RF and UE RF (part II)</t>
  </si>
  <si>
    <t>6G spectrum (part I)</t>
  </si>
  <si>
    <t>6G spectrum (part II)</t>
  </si>
  <si>
    <t>6G RRM (part I)</t>
  </si>
  <si>
    <t>6G RRM (part II)</t>
  </si>
  <si>
    <t>Jinyup Hwang</t>
  </si>
  <si>
    <t>4.3	NR sidelink Intra-band Carrier Aggregation in ITS band	[NR_SL_intraB_CA_ITS]
4.4.1	UE RF requirements maintenance for inter-band NR CA/DC with 3MHz CBW
4.5	NR power class 2 RedCap (Reduced Capability) UE in FR1	[NR_PC2_RedCap_UE-Core]
4.6	UE RF enhancements for NR FR1/FR2 and EN-DC, Phase 4	[NR_ENDC_RF_Ph4]
4.6.1	UE RF requirements	[NR_ENDC_RF_Ph4-Core]
4.6.1.1	High power UE (HPUE) for CA in terrestrial network (TN)	[NR_ENDC_RF_Ph4-Core]
4.6.1.2	Power domain enhancement for NR single carrier and NR intra-band UL CA for PC2 and PC3	[NR_ENDC_RF_Ph4-Core]
4.6.1.3	6Rx UE
4.7	Support of intra-band non-collocated EN-DC/NR-CA deployment Phase2: new receiver type(s)	[NonCol_intraB_ENDC_NR_CA_Ph2]
4.7.1	UE RF requirements		[NonCol_intraB_ENDC_NR_CA_Ph2-Core]
4.8	Low band carrier aggregation via switching	[NR_LBCA_Sw]
4.8.1	UE RF requirements	[NR_LBCA_Sw-Core]
4.33.1	TEI19 UE RF related topics</t>
  </si>
  <si>
    <t>4.9	NR FR1 7 MHz Channel Bandwidth 	[NR_FR1_7MHz_BW]
4.9.1	UE RF requirements and system parameters	[NR_FR1_7MHz_BW-Core]
4.10	New LTE band for 5G broadcast for region 3 utilizing a geosynchronous satellite	[LTE_band_5G_bcast_GSO]
4.10.1	Band definition and system parameters	[LTE_band_5G_bcast_GSO-Core]
4.10.2	UE RF core requirements	[LTE_band_5G_bcast_GSO-Core]
4.12	Enhancements for Air-to-ground network for NR	[NR_ATG_enh]
4.12.1	UE RF requirements	[NR_ATG_enh-Core]
4.18	NR MIMO Phase 5	[NR_MIMO_Ph5]
4.18.1	UE RF requirements	[NR_MIMO_Ph5-Core]
4.22	Low-power wake-up signal and receiver for NR (LP-WUS/WUR)	[NR_LPWUS]
4.22.1	UE RF requirements for LP-WUS/WUR	[NR_LPWUS-Core]</t>
  </si>
  <si>
    <t xml:space="preserve">4.9.1
4.10.1
4.10.2
4.12.1
4.18.1
4.22.1
</t>
  </si>
  <si>
    <t>105-A</t>
  </si>
  <si>
    <t>105-B</t>
  </si>
  <si>
    <t>4.3
4.4.1
4.5
4.6(except4.6.2)
4.7.1
4.8.1
4.33.1</t>
  </si>
  <si>
    <t>R18_UERF_maintenance</t>
  </si>
  <si>
    <t>8.5.1, 8.5.2</t>
  </si>
  <si>
    <t>8.5.3</t>
  </si>
  <si>
    <t>120bis</t>
  </si>
  <si>
    <t>R19_PC2 FDD HPUE duty cycle</t>
  </si>
  <si>
    <t>4.2	Rel-19 spectrum related WI maintenance	[WI code]</t>
  </si>
  <si>
    <t>TEI20</t>
  </si>
  <si>
    <t>4.2</t>
  </si>
  <si>
    <t>10.1.1</t>
  </si>
  <si>
    <t xml:space="preserve">10.2.1
</t>
  </si>
  <si>
    <t>Jiayi Cao</t>
  </si>
  <si>
    <t>107-A</t>
  </si>
  <si>
    <t>107-B</t>
  </si>
  <si>
    <t>8.2.1, 8.2.2, ,8.2.7</t>
  </si>
  <si>
    <t>8.2.3, 8.2.4, 8.2.5,8.2.6</t>
  </si>
  <si>
    <t>8.3.1, 8.3.2, 8.3.3,8.3.6</t>
  </si>
  <si>
    <t>8.3.4, 8.3.5,8.3.7</t>
  </si>
  <si>
    <t xml:space="preserve">6G spectrum: Definition of frequency ranges and spectrum related regulatory survey, Bands and band definitions   </t>
  </si>
  <si>
    <t xml:space="preserve">6G spectrum: Band combination simplification </t>
  </si>
  <si>
    <t>6G AI (part I)</t>
  </si>
  <si>
    <t>6G AI (part II)</t>
  </si>
  <si>
    <t>6G AI: RRM</t>
  </si>
  <si>
    <t>8.8.4</t>
  </si>
  <si>
    <t>Santhan Thangarasa</t>
  </si>
  <si>
    <t>6G RRM: unified measurements, UE group for RRM</t>
  </si>
  <si>
    <t>6G RRM: measurement gap design, 6G mobility related RRM, Other RRM topics (driven by LS)</t>
  </si>
  <si>
    <t>8.6.1, 8.6.4, 8.6.5</t>
  </si>
  <si>
    <t>8.6, 8.6.2.1, 8.6.2.2, 8.6.3</t>
  </si>
  <si>
    <t>8.8.1, 8.8.2, 8.8.3,  8.8.5.1</t>
  </si>
  <si>
    <t>6G AI: DPoD, SRS, others driven by LS</t>
  </si>
  <si>
    <t>7.14.1</t>
    <phoneticPr fontId="6" type="noConversion"/>
  </si>
  <si>
    <t>Thomas Chapman</t>
    <phoneticPr fontId="6" type="noConversion"/>
  </si>
  <si>
    <t>7.14</t>
    <phoneticPr fontId="6" type="noConversion"/>
  </si>
  <si>
    <t xml:space="preserve">1) General aspects and workplan  
2) Inter-vendor training collaboration and interoperability for two-sided AI/ML models  
3) RRM core requirement
</t>
    <phoneticPr fontId="6" type="noConversion"/>
  </si>
  <si>
    <t>Artificial Intelligence (AI)/Machine Learning (ML) for NR Air Interface</t>
    <phoneticPr fontId="6" type="noConversion"/>
  </si>
  <si>
    <t>NR_AIML_air_Ph2</t>
    <phoneticPr fontId="6" type="noConversion"/>
  </si>
  <si>
    <t>Rel-20 PHY AI</t>
    <phoneticPr fontId="4" type="noConversion"/>
  </si>
  <si>
    <t>8.1.1</t>
    <phoneticPr fontId="6" type="noConversion"/>
  </si>
  <si>
    <t>Ruixin Wang</t>
    <phoneticPr fontId="7" type="noConversion"/>
  </si>
  <si>
    <t>8.11</t>
  </si>
  <si>
    <t>6G testability and OTA</t>
    <phoneticPr fontId="7" type="noConversion"/>
  </si>
  <si>
    <t>FS_6G_Radio</t>
    <phoneticPr fontId="7" type="noConversion"/>
  </si>
  <si>
    <t>6G_testability_OTA</t>
    <phoneticPr fontId="7" type="noConversion"/>
  </si>
  <si>
    <t>6G OTA</t>
    <phoneticPr fontId="4" type="noConversion"/>
  </si>
  <si>
    <t>7.3.1</t>
    <phoneticPr fontId="6" type="noConversion"/>
  </si>
  <si>
    <t>Moray Rumney</t>
    <phoneticPr fontId="7" type="noConversion"/>
  </si>
  <si>
    <t xml:space="preserve">1) General aspects and work plan
2) Enhanced test methodologies to cover NTN Ka and Ku bands 
3) Specify FR1 TRP and TRS requirements for new bands
4) Specify FR1 MIMO OTA requirements for new bands based on static test method
</t>
    <phoneticPr fontId="7" type="noConversion"/>
  </si>
  <si>
    <t>Enhancement of UE OTA test method and requirements for NR</t>
    <phoneticPr fontId="7" type="noConversion"/>
  </si>
  <si>
    <t>NR_UE_OTA_Enh</t>
    <phoneticPr fontId="7" type="noConversion"/>
  </si>
  <si>
    <t>Up to Rel-20 OTA</t>
    <phoneticPr fontId="4" type="noConversion"/>
  </si>
  <si>
    <t xml:space="preserve">Karsten Petersen </t>
    <phoneticPr fontId="7" type="noConversion"/>
  </si>
  <si>
    <t>8.7</t>
    <phoneticPr fontId="7" type="noConversion"/>
  </si>
  <si>
    <t>1) Channel model
2) Interference profile/modelling and TxEVM assumptions</t>
    <phoneticPr fontId="7" type="noConversion"/>
  </si>
  <si>
    <t>6G_Demod_Part2</t>
    <phoneticPr fontId="7" type="noConversion"/>
  </si>
  <si>
    <t>Hannu Vesala</t>
    <phoneticPr fontId="7" type="noConversion"/>
  </si>
  <si>
    <t>1) Demodulation and CSI reporting test framework
2) Receiver assumptions</t>
    <phoneticPr fontId="6" type="noConversion"/>
  </si>
  <si>
    <t>6G_Demod_Part1</t>
    <phoneticPr fontId="7" type="noConversion"/>
  </si>
  <si>
    <t>6G Demod</t>
    <phoneticPr fontId="4" type="noConversion"/>
  </si>
  <si>
    <t>7.22.1</t>
    <phoneticPr fontId="6" type="noConversion"/>
  </si>
  <si>
    <t>Jingzhou Wu</t>
    <phoneticPr fontId="7" type="noConversion"/>
  </si>
  <si>
    <t>7.22</t>
    <phoneticPr fontId="6" type="noConversion"/>
  </si>
  <si>
    <t xml:space="preserve">1) General aspects and workplan  
2) Demodulation performance requirement
</t>
    <phoneticPr fontId="6" type="noConversion"/>
  </si>
  <si>
    <t>Coverage enhancements for NR Phase 3</t>
    <phoneticPr fontId="6" type="noConversion"/>
  </si>
  <si>
    <t>NR_cov_Ph3_demod</t>
    <phoneticPr fontId="6" type="noConversion"/>
  </si>
  <si>
    <t>7.4.1</t>
    <phoneticPr fontId="6" type="noConversion"/>
  </si>
  <si>
    <t>Jiakai Shi</t>
    <phoneticPr fontId="6" type="noConversion"/>
  </si>
  <si>
    <t xml:space="preserve">7.4.3.4 </t>
    <phoneticPr fontId="6" type="noConversion"/>
  </si>
  <si>
    <t xml:space="preserve">Demodulation performance requirements </t>
    <phoneticPr fontId="6" type="noConversion"/>
  </si>
  <si>
    <t>NR Radio Resource Management (RRM) Phase 6</t>
    <phoneticPr fontId="7" type="noConversion"/>
  </si>
  <si>
    <t>NR_RRM_Ph6_demod</t>
    <phoneticPr fontId="6" type="noConversion"/>
  </si>
  <si>
    <t>7.9.1</t>
    <phoneticPr fontId="6" type="noConversion"/>
  </si>
  <si>
    <t xml:space="preserve">Ryan Husbands </t>
    <phoneticPr fontId="6" type="noConversion"/>
  </si>
  <si>
    <t>7.9</t>
    <phoneticPr fontId="6" type="noConversion"/>
  </si>
  <si>
    <t>1) General aspects and work plan
2) Study practical spatial channel modelling methodology for MU-MIMO</t>
    <phoneticPr fontId="7" type="noConversion"/>
  </si>
  <si>
    <t>Study on spatial channel model for demodulation performance requirements for NR: MultiUser-MIMO</t>
    <phoneticPr fontId="7" type="noConversion"/>
  </si>
  <si>
    <t>FS_NR_demod_SCM</t>
    <phoneticPr fontId="7" type="noConversion"/>
  </si>
  <si>
    <t>7.5.1</t>
    <phoneticPr fontId="6" type="noConversion"/>
  </si>
  <si>
    <t>7.5</t>
    <phoneticPr fontId="6" type="noConversion"/>
  </si>
  <si>
    <t xml:space="preserve">1) General aspects and work plan
2) Performance requirements for FR1 SU-MIMO with spatial channel model 
3) Performance requirements for 6Rx UE with interference
</t>
    <phoneticPr fontId="7" type="noConversion"/>
  </si>
  <si>
    <t>NR demodulation performance: Phase 6</t>
    <phoneticPr fontId="7" type="noConversion"/>
  </si>
  <si>
    <t>NR_demod_Ph6</t>
    <phoneticPr fontId="7" type="noConversion"/>
  </si>
  <si>
    <t>Up to Rel-20 Demod</t>
    <phoneticPr fontId="4" type="noConversion"/>
  </si>
  <si>
    <t>7.21.1</t>
    <phoneticPr fontId="7" type="noConversion"/>
  </si>
  <si>
    <t>Li Zhang</t>
    <phoneticPr fontId="7" type="noConversion"/>
  </si>
  <si>
    <t>7.21.3
7.21.8</t>
    <phoneticPr fontId="7" type="noConversion"/>
  </si>
  <si>
    <t>1) RRM Core requirement
2) RRM Performance requirement</t>
    <phoneticPr fontId="7" type="noConversion"/>
  </si>
  <si>
    <t>Solutions for Ambient IoT (Internet of Things) in NR Phase 2</t>
    <phoneticPr fontId="7" type="noConversion"/>
  </si>
  <si>
    <t>Ambient_IoT_Ph2_RRM</t>
    <phoneticPr fontId="7" type="noConversion"/>
  </si>
  <si>
    <t>7.18.1</t>
    <phoneticPr fontId="6" type="noConversion"/>
  </si>
  <si>
    <t>Dorin Panaitopol</t>
    <phoneticPr fontId="6" type="noConversion"/>
  </si>
  <si>
    <t>7.18.2 
7.18.4</t>
    <phoneticPr fontId="6" type="noConversion"/>
  </si>
  <si>
    <t>1) General aspects and workplan
2) RRM core requirements</t>
    <phoneticPr fontId="6" type="noConversion"/>
  </si>
  <si>
    <t>GNSS resilient NR-NTN operation</t>
    <phoneticPr fontId="6" type="noConversion"/>
  </si>
  <si>
    <t>NR_NTN_GNSS_resilient_RRM</t>
    <phoneticPr fontId="6" type="noConversion"/>
  </si>
  <si>
    <t>7.17.1</t>
    <phoneticPr fontId="7" type="noConversion"/>
  </si>
  <si>
    <t>Hua Li</t>
    <phoneticPr fontId="4" type="noConversion"/>
  </si>
  <si>
    <t xml:space="preserve">7.17 </t>
    <phoneticPr fontId="7" type="noConversion"/>
  </si>
  <si>
    <t xml:space="preserve">1) General aspects and workplan 
2) RRM core requirement </t>
    <phoneticPr fontId="7" type="noConversion"/>
  </si>
  <si>
    <t>NR mobility enhancements Phase 5</t>
    <phoneticPr fontId="7" type="noConversion"/>
  </si>
  <si>
    <t>NR_Mob_Ph5_RRM</t>
    <phoneticPr fontId="7" type="noConversion"/>
  </si>
  <si>
    <t>7.16.1</t>
    <phoneticPr fontId="6" type="noConversion"/>
  </si>
  <si>
    <t>Qiuge Guo</t>
    <phoneticPr fontId="7" type="noConversion"/>
  </si>
  <si>
    <t>7.16</t>
    <phoneticPr fontId="6" type="noConversion"/>
  </si>
  <si>
    <t>Artificial Intelligence (AI)/Machine Learning (ML) for mobility</t>
    <phoneticPr fontId="7" type="noConversion"/>
  </si>
  <si>
    <t>NR_AIML_Mob_RRM</t>
    <phoneticPr fontId="7" type="noConversion"/>
  </si>
  <si>
    <t>7.15.1</t>
    <phoneticPr fontId="6" type="noConversion"/>
  </si>
  <si>
    <t>Ada (Miao) Wang</t>
    <phoneticPr fontId="4" type="noConversion"/>
  </si>
  <si>
    <t>7.15</t>
    <phoneticPr fontId="6" type="noConversion"/>
  </si>
  <si>
    <t>NR MIMO Phase 6</t>
    <phoneticPr fontId="7" type="noConversion"/>
  </si>
  <si>
    <t>NR_MIMO_Ph6_RRM</t>
    <phoneticPr fontId="9" type="noConversion"/>
  </si>
  <si>
    <t>7.10.1</t>
    <phoneticPr fontId="6" type="noConversion"/>
  </si>
  <si>
    <t>Chui Inami</t>
    <phoneticPr fontId="6" type="noConversion"/>
  </si>
  <si>
    <t>7.10</t>
    <phoneticPr fontId="6" type="noConversion"/>
  </si>
  <si>
    <t xml:space="preserve">1) General aspects and work plan
2) RRM core requirements
</t>
    <phoneticPr fontId="6" type="noConversion"/>
  </si>
  <si>
    <t xml:space="preserve">Increasing the number of NR inter-frequency carriers for UE monitoring   </t>
    <phoneticPr fontId="6" type="noConversion"/>
  </si>
  <si>
    <t>NR_IncMon_RRM</t>
    <phoneticPr fontId="6" type="noConversion"/>
  </si>
  <si>
    <t>7.8.1</t>
    <phoneticPr fontId="6" type="noConversion"/>
  </si>
  <si>
    <t>Yanze Fu</t>
    <phoneticPr fontId="4" type="noConversion"/>
  </si>
  <si>
    <t>7.8.4</t>
    <phoneticPr fontId="6" type="noConversion"/>
  </si>
  <si>
    <t>RRM core requirements</t>
    <phoneticPr fontId="7" type="noConversion"/>
  </si>
  <si>
    <t>Enhancement of low NR band carrier aggregation via switching</t>
    <phoneticPr fontId="7" type="noConversion"/>
  </si>
  <si>
    <t>NR_LBCA_Sw_enh_RRM</t>
    <phoneticPr fontId="7" type="noConversion"/>
  </si>
  <si>
    <t>7.7.1</t>
    <phoneticPr fontId="4" type="noConversion"/>
  </si>
  <si>
    <t>Zhongyi Shen</t>
    <phoneticPr fontId="4" type="noConversion"/>
  </si>
  <si>
    <t xml:space="preserve">7.7.5 </t>
    <phoneticPr fontId="4" type="noConversion"/>
  </si>
  <si>
    <t>RRM core requirements</t>
    <phoneticPr fontId="4" type="noConversion"/>
  </si>
  <si>
    <t>Enhancement of NR RF and RRM requirements for uncrewed aerial vehicle (UAV)</t>
    <phoneticPr fontId="4" type="noConversion"/>
  </si>
  <si>
    <t>NR_UAV_req_RRM</t>
    <phoneticPr fontId="4" type="noConversion"/>
  </si>
  <si>
    <t>Zhixun Tang</t>
    <phoneticPr fontId="4" type="noConversion"/>
  </si>
  <si>
    <t>7.4.2
7.4.3.2
7.4.3.3
7.4.4</t>
    <phoneticPr fontId="6" type="noConversion"/>
  </si>
  <si>
    <t>General aspects and work plan
RRM core requirements
RRM performance requirements</t>
    <phoneticPr fontId="7" type="noConversion"/>
  </si>
  <si>
    <t>NR_RRM_Ph6</t>
    <phoneticPr fontId="7" type="noConversion"/>
  </si>
  <si>
    <t>Up to Rel-20 RRM</t>
    <phoneticPr fontId="6" type="noConversion"/>
  </si>
  <si>
    <t>Shan Yang</t>
    <phoneticPr fontId="6" type="noConversion"/>
  </si>
  <si>
    <t>N.A.</t>
    <phoneticPr fontId="6" type="noConversion"/>
  </si>
  <si>
    <t>RRM_Demod_OTA_Session</t>
    <phoneticPr fontId="6" type="noConversion"/>
  </si>
  <si>
    <t xml:space="preserve">Notes </t>
    <phoneticPr fontId="6" type="noConversion"/>
  </si>
  <si>
    <t>Moderator</t>
  </si>
  <si>
    <t>AI covered in the topic thread</t>
  </si>
  <si>
    <t>Email title</t>
  </si>
  <si>
    <t>#</t>
    <phoneticPr fontId="7" type="noConversion"/>
  </si>
  <si>
    <t>Apple</t>
  </si>
  <si>
    <t>Daniel Popp</t>
  </si>
  <si>
    <t>Migration of A-MPR tables to JSON format</t>
  </si>
  <si>
    <t>RAN task</t>
  </si>
  <si>
    <t>[120bis][371] A-MPR_JSON</t>
  </si>
  <si>
    <t>A-MPR_JSON</t>
  </si>
  <si>
    <t>CATT</t>
  </si>
  <si>
    <t>11.2, 11.3, 11.4 (BDaT related)</t>
  </si>
  <si>
    <t>LS response for BDaT</t>
  </si>
  <si>
    <t>BDaT LS</t>
  </si>
  <si>
    <t>[120bis][370] LS_BDaT</t>
  </si>
  <si>
    <t>LS_BDaT</t>
  </si>
  <si>
    <t>LS and RAN task</t>
  </si>
  <si>
    <t>8.1.1</t>
  </si>
  <si>
    <t>AT&amp;T</t>
  </si>
  <si>
    <t>Joe Schumacher</t>
  </si>
  <si>
    <t>8.4.4.1, 8.4.4.2, 8.4.4.3</t>
  </si>
  <si>
    <t>NTN-NTN and NTN-TN DL/DL coexistence</t>
  </si>
  <si>
    <t>FS_6G_Radio
RAN_task</t>
  </si>
  <si>
    <t>[120bis][364] NTN_coexistence</t>
  </si>
  <si>
    <t>NTN_coexistence</t>
  </si>
  <si>
    <t>Qualcomm</t>
  </si>
  <si>
    <t>Mustafa Emara</t>
  </si>
  <si>
    <t>8.10.1, 8.10.2</t>
  </si>
  <si>
    <t>6G Sensing: Feasibility and general</t>
  </si>
  <si>
    <t>[120bis][363] 6G_Sensing_feasiblity_general</t>
  </si>
  <si>
    <t>6G_Sensing_feasiblity_general</t>
  </si>
  <si>
    <t>ZTE</t>
  </si>
  <si>
    <t xml:space="preserve">Fei Xue
</t>
  </si>
  <si>
    <t>8.10.3, 8.10.4, 8.10.5</t>
  </si>
  <si>
    <t>6G Sensing: coexistence, testing, and impacted requirements</t>
  </si>
  <si>
    <t>[120bis][362] 6G_Sensing_coex_test_req</t>
  </si>
  <si>
    <t>6G_Sensing_coex_test_req</t>
  </si>
  <si>
    <t>Huawei</t>
  </si>
  <si>
    <t>Michal Szydelko</t>
  </si>
  <si>
    <t>8.4.3.1, 8.4.3.2, 8.4.5, 8.4.6</t>
  </si>
  <si>
    <t>6G BSRF: Coexistence
AAS modeling below 1 GHz</t>
  </si>
  <si>
    <t>[120bis][361] 6G_BSRF_coexistence_AAS</t>
  </si>
  <si>
    <t>6G_BSRF_coexistence_AAS</t>
  </si>
  <si>
    <t>Ericsson</t>
  </si>
  <si>
    <t>Dominique Everaere</t>
  </si>
  <si>
    <t>8.4.1.1, 8.4.1.2, 8.4.1.3, 8.4.2</t>
  </si>
  <si>
    <t>6G BSRF: BS RF requirements, SAN RF requirements</t>
  </si>
  <si>
    <t>[120bis][360] 6G_BSRF_requirements</t>
  </si>
  <si>
    <t>6G_BSRF_requirements</t>
  </si>
  <si>
    <t>7.11.1</t>
  </si>
  <si>
    <t>Nokia</t>
  </si>
  <si>
    <t>Man Hung Ng</t>
  </si>
  <si>
    <t>7.11.2, 7.11.3</t>
  </si>
  <si>
    <t xml:space="preserve">PC1 UL MIMO and TxD in bands n100 and n101 </t>
  </si>
  <si>
    <t>FRMCS_PC1_UL_MIMO-Core</t>
  </si>
  <si>
    <t>[120bis][355] NR_PC1_UL_MIMO_n100_n101</t>
  </si>
  <si>
    <t>NR_PC1_UL_MIMO_n100_n101</t>
  </si>
  <si>
    <t>RRM part 7.21.3 and 7.21.8 are handled in RRM session</t>
  </si>
  <si>
    <t>7.21.1</t>
  </si>
  <si>
    <t>Xiaomi</t>
  </si>
  <si>
    <t>Huiping Shan</t>
  </si>
  <si>
    <t>7.21.6.1, 7.21.6.2, 7.21.6.3, 7.21.6.4, 7.21.7</t>
  </si>
  <si>
    <t>D2T2 requirements, testing active devices</t>
  </si>
  <si>
    <t>Ambient_IoT_Solutions_Ph2-Core</t>
  </si>
  <si>
    <t>[120bis][354] A-IoT_indoor_test</t>
  </si>
  <si>
    <t>A-IoT_indoor_test</t>
  </si>
  <si>
    <t>Ling Lin</t>
  </si>
  <si>
    <t>7.21.2, 7.21.4, 7.21.5.1, 7.21.5.2, 7.21.5.3</t>
  </si>
  <si>
    <t>System parameters, D4T1</t>
  </si>
  <si>
    <t>[120bis][353] A-IoT_sys_outdoor</t>
  </si>
  <si>
    <t>A-IoT_sys_outdoor</t>
  </si>
  <si>
    <t>7.7.1</t>
  </si>
  <si>
    <t>Bin Han</t>
  </si>
  <si>
    <t>7.7.2, 7.7.3, 7.7.4</t>
  </si>
  <si>
    <t>Rel-20 UAV: General aspects, coexistence, UE RF requirements</t>
  </si>
  <si>
    <t>NR_UAV_req-Core</t>
  </si>
  <si>
    <t>[120bis][352] NR_UAV</t>
  </si>
  <si>
    <t>NR_UAV</t>
  </si>
  <si>
    <t>Rel-20 Other verticals</t>
  </si>
  <si>
    <t>7.12.1</t>
  </si>
  <si>
    <t>Sony</t>
  </si>
  <si>
    <t>Kun Zhao</t>
  </si>
  <si>
    <t>7.12.2, 7.12.3.1, 7.12.3.2</t>
  </si>
  <si>
    <t>Extended guard band for NR and IoT NTN</t>
  </si>
  <si>
    <t>NR_NTN_IoT_NTN_ext_guard-Core</t>
  </si>
  <si>
    <t>[120bis][356] NR_IoT_extended_guardband</t>
  </si>
  <si>
    <t>NR_IoT_extended_guardband</t>
  </si>
  <si>
    <t>7.20.1</t>
  </si>
  <si>
    <t>vivo</t>
  </si>
  <si>
    <t>Runsen Tang</t>
  </si>
  <si>
    <t>7.20.2, 7.20.3.1, 7.20.3.2</t>
  </si>
  <si>
    <t>Higher than PC1 for IoT NTN UE</t>
  </si>
  <si>
    <t>IoT_NTN_Ph4-Core</t>
  </si>
  <si>
    <t>[120bis][351] LTE_IoT_NTN_high_power</t>
  </si>
  <si>
    <t>LTE_IoT_NTN_high_power</t>
  </si>
  <si>
    <t>7.19.1</t>
  </si>
  <si>
    <t>Lingyu Gao</t>
  </si>
  <si>
    <t>7.19.2, 7.19.3, 7.19.4</t>
  </si>
  <si>
    <t>E-UTRA TN to NR NTN handover enhancements</t>
  </si>
  <si>
    <t>LTE_TN_NR_NTN_HO-Core</t>
  </si>
  <si>
    <t>[120bis][350] LTE_TN_NR_NTN_handover</t>
  </si>
  <si>
    <t>LTE_TN_NR_NTN_handover</t>
  </si>
  <si>
    <t>RF part only.  RRM/Demod handled in Shan's session</t>
  </si>
  <si>
    <t>7.18.1</t>
  </si>
  <si>
    <t>Thales</t>
  </si>
  <si>
    <t xml:space="preserve">Dorin Panaitopol
</t>
  </si>
  <si>
    <t>7.18.3</t>
  </si>
  <si>
    <t>GNSS resilient NR-NTN operation UE RF</t>
  </si>
  <si>
    <t>NR_NTN_GNSS_resilient-Core</t>
  </si>
  <si>
    <t>[120bis][349] NR_NTN_GNSS_resilient</t>
  </si>
  <si>
    <t>NR_NTN_GNSS_resilient</t>
  </si>
  <si>
    <t>NTN RRM including TEI20 if any</t>
  </si>
  <si>
    <t>7.6.1</t>
  </si>
  <si>
    <t>LGE</t>
  </si>
  <si>
    <t>Jinyeong Choe</t>
  </si>
  <si>
    <t>7.6.5.2, 7.6.6.3, 4.6.2</t>
  </si>
  <si>
    <t>Rel-20 NTN: HD-FDD and DL CA RRM
TEI-20 NTN RRM</t>
  </si>
  <si>
    <t>NR_IoT_NTN_req_Ph2-Core</t>
  </si>
  <si>
    <t>[120bis][348] NR_IoT_NTN_Ph2_Part3_RRM</t>
  </si>
  <si>
    <t>NR_IoT_NTN_Ph2_Part3_RRM</t>
  </si>
  <si>
    <t>NTN FR2 HD-FDD RF
Also including maintenance for PC1.5 IoT NTN and TEI-20 related to NTN RF</t>
  </si>
  <si>
    <t>MediaTek</t>
  </si>
  <si>
    <t>Jeffery Chi</t>
  </si>
  <si>
    <t>7.6.4, 7.6.5.1, 7.13.1, 4.6.1</t>
  </si>
  <si>
    <t>Rel-20 NTN: HD-FDD for FR2
IoT NTN PC1.5 maintenance
TEI-20 NTN RF</t>
  </si>
  <si>
    <t xml:space="preserve">NR_IoT_NTN_req_Ph2-Core
HPUE_IoT_NTN-Core
</t>
  </si>
  <si>
    <t>[120bis][347] NR_IoT_NTN_Ph2_Part2</t>
  </si>
  <si>
    <t>NR_IoT_NTN_Ph2_Part2</t>
  </si>
  <si>
    <t>NR NTN PC1.5 FDD, DL CA RF, release independence</t>
  </si>
  <si>
    <t>CHTTL</t>
  </si>
  <si>
    <t>Tank Taaank</t>
  </si>
  <si>
    <t>7.6.2, 7.6.3, 7.6.6.1.1, 7.6.6.1.2, 7.6.6.2.1, 7.6.6.2.2, 7.6.7</t>
  </si>
  <si>
    <t>Rel-20 NTN: General aspects, NR NTN PC1.5, DL CA RF</t>
  </si>
  <si>
    <t>[120bis][346] NR_IoT_NTN_Ph2</t>
  </si>
  <si>
    <t>NR_IoT_NTN_Ph2</t>
  </si>
  <si>
    <t>Rel-20 NTN related</t>
  </si>
  <si>
    <t>7.2.1</t>
  </si>
  <si>
    <t>Torbjörn Elfström</t>
  </si>
  <si>
    <t>7.2.2, 7.2.3, 7.2.4, 4.4</t>
  </si>
  <si>
    <t>Rel-20 BS RF: General aspects, Co-location, SBFD to SBFD coex
TEI-20 BS RF</t>
  </si>
  <si>
    <t>NR_BS_RF_req_evo_Ph2-Core</t>
  </si>
  <si>
    <t>[120bis][345] NR_BS_RF_Ph2</t>
  </si>
  <si>
    <t>NR_BS_RF_Ph2</t>
  </si>
  <si>
    <t>Rel-20 BS RF</t>
  </si>
  <si>
    <t>RRM part 7.8.4 is handled in RRM session</t>
  </si>
  <si>
    <t>7.8.1</t>
  </si>
  <si>
    <t>James Wang</t>
  </si>
  <si>
    <t>7.8.2, 7.8.3</t>
  </si>
  <si>
    <t>Rel-20 LBCA: General aspects, UE RF</t>
  </si>
  <si>
    <t>NR_LBCA_Sw_enh-Core</t>
  </si>
  <si>
    <t>[120bis][342] NR_low_band_CA_switching</t>
  </si>
  <si>
    <t>NR_low_band_CA_switching</t>
  </si>
  <si>
    <t>7.1.1</t>
  </si>
  <si>
    <t>Alok Sethi</t>
  </si>
  <si>
    <t>7.1.2, 7.1.3.2, 7.1.3.3, 7.1.3.4, 7.1.5, 4.2</t>
  </si>
  <si>
    <t>Rel-20 UE RF:  General aspects, HPUE requirements
TEI-20 UE RF</t>
  </si>
  <si>
    <t>NR_UE_RF_Ph5-Core</t>
  </si>
  <si>
    <t>[120bis][340] NR_UE_RF_Ph5</t>
  </si>
  <si>
    <t>NR_UE_RF_Ph5</t>
  </si>
  <si>
    <t>Rel-20 UE RF</t>
  </si>
  <si>
    <t>NWM or equivalent to be used</t>
  </si>
  <si>
    <t>China Telecom</t>
  </si>
  <si>
    <t>Bo Liu</t>
  </si>
  <si>
    <t>5.14.1, 5.14.2</t>
  </si>
  <si>
    <t>Additional SUL bands and band combinations</t>
  </si>
  <si>
    <t>NR_HAPS_SUL_combos-Core</t>
  </si>
  <si>
    <t>[120bis][331] NR_HAPS_SUL_combos</t>
  </si>
  <si>
    <t>NR_HAPS_SUL_combos</t>
  </si>
  <si>
    <t>SpaceX</t>
  </si>
  <si>
    <t>Toliy Ioffe</t>
  </si>
  <si>
    <t>5.12.1, 5.12.2, 5.12.3, 5.12.4, 5.13.1, 5.13.2, 5.13.3</t>
  </si>
  <si>
    <t>Introduction of NR and LTE bands for terrestrial 1900 MHz in the US</t>
  </si>
  <si>
    <t>NR_1900MHz_USA-Core
LTE_1900MHz_USA-Core</t>
  </si>
  <si>
    <t>[120bis][330] NR_LTE_1900MHz_TN_bands</t>
  </si>
  <si>
    <t>NR_LTE_1900MHz_TN_bands</t>
  </si>
  <si>
    <t>NWM or equivalent to be used
Maintenance for Core part and
Performance part</t>
  </si>
  <si>
    <t>Li Lu</t>
  </si>
  <si>
    <t>5.11.1, 5.11.2</t>
  </si>
  <si>
    <t>Adding channel bandwidth support to existing LTE band for 5G broadcast for region 3 utilizing geosynchronous satellite</t>
  </si>
  <si>
    <t>LTE_band_246_5G_bcast_GSO_BWs-Perf</t>
  </si>
  <si>
    <t>[120bis][329] New_CBW_5G_broadcast_over_GSO</t>
  </si>
  <si>
    <t>New_CBW_5G_broadcast_over_GSO</t>
  </si>
  <si>
    <t>NWM or equivalent to be used
Only maintenance is expected and Performance Part</t>
  </si>
  <si>
    <t>NTT DoCoMo</t>
  </si>
  <si>
    <t xml:space="preserve">Ryu Kitagawa
</t>
  </si>
  <si>
    <t>5.10.1, 5.10.2</t>
  </si>
  <si>
    <t>Introduction of EESS protection and PC1 for 40GHz</t>
  </si>
  <si>
    <t>NR_40GHz_EESSprot_PC1-Perf</t>
  </si>
  <si>
    <t>[120bis][328] NR_EESS_PC1_40GHz</t>
  </si>
  <si>
    <t>NR_EESS_PC1_40GHz</t>
  </si>
  <si>
    <t>Mohammad Abdi Abyaneh</t>
  </si>
  <si>
    <t>5.8.1, 5.8.2</t>
  </si>
  <si>
    <t>basket WI on Rel-20 LTE-Advanced Carrier	Aggregation for x bands (1&lt;=x&lt;= 6) DL with y bands (y=1, 2) UL</t>
  </si>
  <si>
    <t>LTE_CA _R20_xBDL_yBUL-Core</t>
  </si>
  <si>
    <t>[120bis][326] LTE_CA_xBDL_yBUL</t>
  </si>
  <si>
    <t>LTE_CA_xBDL_yBUL</t>
  </si>
  <si>
    <t>5.7.1, 5.7.2, 5.7.3, 5.7.4, 5.7.5</t>
  </si>
  <si>
    <t>New WID for Rel-20 Addition of channel bandwidths and power classes to existing NR bands and CA/DC combinations, and bands with PC2 for RedCap UEs</t>
  </si>
  <si>
    <t>NR_Bands_BW_PC_BC_Redcap_R20-Core</t>
  </si>
  <si>
    <t>[120bis][325] NR_Bands_BW_PC_BC_RedCap</t>
  </si>
  <si>
    <t>NR_Bands_BW_PC_BC_RedCap</t>
  </si>
  <si>
    <t>Per Lindell</t>
  </si>
  <si>
    <t>5.6.1, 5.6.2, 5.6.3, 5.6.4, 5.6.5, 5.6.6, 5.6.7, 5.6.8, 5.6.9</t>
  </si>
  <si>
    <t>Rel-20 NR Carrier Aggregation (CA)/Dual Connectivity 	(DC) for x bands DL with y bands UL (x&lt;7, y&lt;3) and Supplementary 	Uplink (SUL) band combinations/CA band combinations with a single SUL or two SUL cells</t>
  </si>
  <si>
    <t>NR_CADC_SUL_R20_HPUE-Core</t>
  </si>
  <si>
    <t>[120bis][324] NR_CADC_SUL</t>
  </si>
  <si>
    <t>NR_CADC_SUL</t>
  </si>
  <si>
    <t>5.5.1, 5.5.2, 5.5.3, 5.5.4, 5.5.5, 5.5.6</t>
  </si>
  <si>
    <t>Introduction of the higher power classes, 3MHz channel	bandwidth and eRedCap for the existing NR/IoT NTN bands</t>
  </si>
  <si>
    <t>NTN_bands_Features_R20-Core</t>
  </si>
  <si>
    <t>[120bis][323] NTN_bands_Features</t>
  </si>
  <si>
    <t>NTN_bands_Features</t>
  </si>
  <si>
    <t xml:space="preserve">NWM or equivalent to be used.  </t>
  </si>
  <si>
    <t>Wubin Zhou</t>
  </si>
  <si>
    <t>5.4.1, 5.4.2, 5.4.3, 5.4.4, 5.4.5</t>
  </si>
  <si>
    <t>Additional NR bands for NR features in Rel-20</t>
  </si>
  <si>
    <t>NR_bands_xFeature_R20-Core</t>
  </si>
  <si>
    <t>[120bis][322] NR_bands_xFeature</t>
  </si>
  <si>
    <t>NR_bands_xFeature</t>
  </si>
  <si>
    <t>China Unicom</t>
  </si>
  <si>
    <t xml:space="preserve">Basaier Jialade
</t>
  </si>
  <si>
    <t>5.3.1, 5.3.2, 5.3.3, 5.3.4, 5.3.5, 5.3.6, 5.3.7</t>
  </si>
  <si>
    <t>Rel-20 Dual connectivity (DC) of x LTE band(s), y NR band(s) (1&lt;=x&lt;6, 1&lt;=y&lt;6, x+y&lt;=6) and single or two NR Supplementary Uplink (SUL) bands</t>
  </si>
  <si>
    <t>DC_xBLTE_yBNR_R20_HPUE-Core</t>
  </si>
  <si>
    <t>[120bis][321] DC_xBLTE_yBNR</t>
  </si>
  <si>
    <t>DC_xBLTE_yBNR</t>
  </si>
  <si>
    <t>NWM or equivalent to be used.</t>
  </si>
  <si>
    <t>5.2.1, 5.2.2, 5.2.3, 5.2.4</t>
  </si>
  <si>
    <t>Rel-20 Additional NR and LTE band combinations for features in Rel-20</t>
  </si>
  <si>
    <t>NR_LTE_combos_Features_R20-Core</t>
  </si>
  <si>
    <t>[120bis][320] NR_LTE_combos_Features</t>
  </si>
  <si>
    <t>NR_LTE_combos_Features</t>
  </si>
  <si>
    <t>Rel-20 5G-A Spectrum and baskets</t>
  </si>
  <si>
    <t>Rel-19/20 Maintenance and TEI</t>
  </si>
  <si>
    <t>Rel-15/16/17/18 Legacy Maintenance and TEI</t>
  </si>
  <si>
    <t>Session chair announcements for BDaT session, such as meeting report update, meeting schedule, etc.</t>
  </si>
  <si>
    <t>Session chair</t>
  </si>
  <si>
    <t>Gene Fong</t>
  </si>
  <si>
    <t>N.A.</t>
  </si>
  <si>
    <t>[120bis][300] BDaT_Session</t>
  </si>
  <si>
    <t>BDaT_Session</t>
  </si>
  <si>
    <t>Documents available/reserved at start of meeting</t>
  </si>
  <si>
    <t>Moderator Summary</t>
  </si>
  <si>
    <t>Summary AI</t>
  </si>
  <si>
    <t>Company</t>
  </si>
  <si>
    <t>AI</t>
  </si>
  <si>
    <t>Topic title</t>
  </si>
  <si>
    <t>#</t>
  </si>
  <si>
    <t>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</si>
</sst>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charset val="134"/>
      <scheme val="minor"/>
    </font>
    <font>
      <sz val="11"/>
      <color theme="1"/>
      <name val="Calibri"/>
      <family val="2"/>
      <scheme val="minor"/>
    </font>
    <font>
      <b/>
      <sz val="12"/>
      <name val="Calibri"/>
      <family val="2"/>
      <scheme val="minor"/>
    </font>
    <font>
      <sz val="11"/>
      <color theme="1"/>
      <name val="Calibri"/>
      <family val="2"/>
      <charset val="134"/>
      <scheme val="minor"/>
    </font>
    <font>
      <sz val="12"/>
      <name val="Calibri"/>
      <family val="3"/>
      <charset val="134"/>
      <scheme val="minor"/>
    </font>
    <font>
      <sz val="12"/>
      <color rgb="FFFF0000"/>
      <name val="Calibri"/>
      <family val="3"/>
      <charset val="134"/>
      <scheme val="minor"/>
    </font>
    <font>
      <sz val="9"/>
      <name val="Calibri"/>
      <family val="3"/>
      <charset val="134"/>
      <scheme val="minor"/>
    </font>
    <font>
      <sz val="36"/>
      <color theme="1"/>
      <name val="Calibri"/>
      <family val="2"/>
      <scheme val="minor"/>
    </font>
    <font>
      <sz val="12"/>
      <color theme="1"/>
      <name val="Calibri"/>
      <family val="2"/>
      <scheme val="minor"/>
    </font>
    <font>
      <sz val="12"/>
      <color theme="2"/>
      <name val="Calibri"/>
      <family val="2"/>
      <scheme val="minor"/>
    </font>
    <font>
      <sz val="11"/>
      <color theme="2"/>
      <name val="Calibri"/>
      <family val="2"/>
      <scheme val="minor"/>
    </font>
    <font>
      <sz val="12"/>
      <name val="Calibri"/>
      <family val="2"/>
    </font>
    <font>
      <sz val="12"/>
      <color theme="1"/>
      <name val="Calibri"/>
      <family val="2"/>
    </font>
    <font>
      <b/>
      <sz val="12"/>
      <name val="Calibri"/>
      <family val="2"/>
    </font>
    <font>
      <sz val="12"/>
      <name val="Calibri"/>
      <family val="2"/>
      <scheme val="minor"/>
    </font>
    <font>
      <sz val="11"/>
      <name val="Calibri"/>
      <family val="2"/>
    </font>
    <font>
      <b/>
      <sz val="9"/>
      <color indexed="81"/>
      <name val="Tahoma"/>
      <family val="2"/>
    </font>
    <font>
      <sz val="9"/>
      <color indexed="81"/>
      <name val="Tahoma"/>
      <family val="2"/>
    </font>
  </fonts>
  <fills count="11">
    <fill>
      <patternFill patternType="none"/>
    </fill>
    <fill>
      <patternFill patternType="gray125"/>
    </fill>
    <fill>
      <patternFill patternType="solid">
        <fgColor theme="4" tint="0.79998168889431442"/>
        <bgColor indexed="64"/>
      </patternFill>
    </fill>
    <fill>
      <patternFill patternType="solid">
        <fgColor rgb="FF00B0F0"/>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FFFF"/>
        <bgColor rgb="FF000000"/>
      </patternFill>
    </fill>
    <fill>
      <patternFill patternType="solid">
        <fgColor theme="0"/>
        <bgColor indexed="64"/>
      </patternFill>
    </fill>
    <fill>
      <patternFill patternType="solid">
        <fgColor rgb="FF00B0F0"/>
        <bgColor rgb="FF000000"/>
      </patternFill>
    </fill>
    <fill>
      <patternFill patternType="solid">
        <fgColor rgb="FFD9E1F2"/>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9">
    <xf numFmtId="0" fontId="0" fillId="0" borderId="0"/>
    <xf numFmtId="0" fontId="5" fillId="0" borderId="0"/>
    <xf numFmtId="0" fontId="7" fillId="0" borderId="0">
      <alignment vertical="center"/>
    </xf>
    <xf numFmtId="0" fontId="4" fillId="0" borderId="0">
      <alignment vertical="center"/>
    </xf>
    <xf numFmtId="0" fontId="4" fillId="0" borderId="0">
      <alignment vertical="center"/>
    </xf>
    <xf numFmtId="0" fontId="11" fillId="0" borderId="0"/>
    <xf numFmtId="0" fontId="12" fillId="0" borderId="0"/>
    <xf numFmtId="0" fontId="5" fillId="0" borderId="0"/>
    <xf numFmtId="0" fontId="3" fillId="0" borderId="0"/>
  </cellStyleXfs>
  <cellXfs count="89">
    <xf numFmtId="0" fontId="0" fillId="0" borderId="0" xfId="0"/>
    <xf numFmtId="0" fontId="5" fillId="0" borderId="0" xfId="7"/>
    <xf numFmtId="49" fontId="8" fillId="0" borderId="1" xfId="7" applyNumberFormat="1" applyFont="1" applyBorder="1" applyAlignment="1">
      <alignment horizontal="left" vertical="top" wrapText="1"/>
    </xf>
    <xf numFmtId="0" fontId="8" fillId="0" borderId="1" xfId="7" applyFont="1" applyBorder="1" applyAlignment="1">
      <alignment horizontal="left" vertical="top" wrapText="1"/>
    </xf>
    <xf numFmtId="49" fontId="8" fillId="0" borderId="1" xfId="7" applyNumberFormat="1" applyFont="1" applyBorder="1" applyAlignment="1">
      <alignment horizontal="center" vertical="top" wrapText="1"/>
    </xf>
    <xf numFmtId="49" fontId="9" fillId="0" borderId="1" xfId="7" applyNumberFormat="1" applyFont="1" applyBorder="1" applyAlignment="1">
      <alignment horizontal="left" vertical="top" wrapText="1"/>
    </xf>
    <xf numFmtId="49" fontId="8" fillId="0" borderId="1" xfId="3" applyNumberFormat="1" applyFont="1" applyBorder="1" applyAlignment="1">
      <alignment horizontal="left" vertical="top" wrapText="1"/>
    </xf>
    <xf numFmtId="49" fontId="6" fillId="2" borderId="1" xfId="7" applyNumberFormat="1" applyFont="1" applyFill="1" applyBorder="1" applyAlignment="1">
      <alignment horizontal="left" vertical="center" wrapText="1"/>
    </xf>
    <xf numFmtId="49" fontId="8" fillId="0" borderId="1" xfId="7" applyNumberFormat="1" applyFont="1" applyBorder="1" applyAlignment="1">
      <alignment vertical="top" wrapText="1"/>
    </xf>
    <xf numFmtId="49" fontId="6" fillId="2" borderId="1" xfId="7" applyNumberFormat="1" applyFont="1" applyFill="1" applyBorder="1" applyAlignment="1">
      <alignment vertical="top" wrapText="1"/>
    </xf>
    <xf numFmtId="0" fontId="5" fillId="0" borderId="0" xfId="7" applyAlignment="1">
      <alignment vertical="top"/>
    </xf>
    <xf numFmtId="49" fontId="6" fillId="2" borderId="1" xfId="7" applyNumberFormat="1" applyFont="1" applyFill="1" applyBorder="1" applyAlignment="1">
      <alignment horizontal="left" vertical="top" wrapText="1"/>
    </xf>
    <xf numFmtId="0" fontId="5" fillId="0" borderId="0" xfId="7" applyAlignment="1">
      <alignment horizontal="left" vertical="top"/>
    </xf>
    <xf numFmtId="49" fontId="13" fillId="0" borderId="1" xfId="7" applyNumberFormat="1" applyFont="1" applyBorder="1" applyAlignment="1">
      <alignment horizontal="center" vertical="top" wrapText="1"/>
    </xf>
    <xf numFmtId="49" fontId="13" fillId="0" borderId="1" xfId="7" applyNumberFormat="1" applyFont="1" applyBorder="1" applyAlignment="1">
      <alignment horizontal="left" vertical="top" wrapText="1"/>
    </xf>
    <xf numFmtId="0" fontId="13" fillId="0" borderId="1" xfId="7" applyFont="1" applyBorder="1" applyAlignment="1">
      <alignment horizontal="left" vertical="top" wrapText="1"/>
    </xf>
    <xf numFmtId="0" fontId="14" fillId="0" borderId="0" xfId="7" applyFont="1" applyAlignment="1">
      <alignment horizontal="left" vertical="top"/>
    </xf>
    <xf numFmtId="49" fontId="13" fillId="0" borderId="1" xfId="7" applyNumberFormat="1" applyFont="1" applyBorder="1" applyAlignment="1">
      <alignment vertical="top" wrapText="1"/>
    </xf>
    <xf numFmtId="0" fontId="14" fillId="0" borderId="0" xfId="7" applyFont="1"/>
    <xf numFmtId="49" fontId="13" fillId="0" borderId="1" xfId="3" applyNumberFormat="1" applyFont="1" applyBorder="1" applyAlignment="1">
      <alignment horizontal="left" vertical="top" wrapText="1"/>
    </xf>
    <xf numFmtId="49" fontId="13" fillId="0" borderId="1" xfId="3" applyNumberFormat="1" applyFont="1" applyBorder="1" applyAlignment="1">
      <alignment vertical="top" wrapText="1"/>
    </xf>
    <xf numFmtId="49" fontId="2" fillId="0" borderId="1" xfId="7" applyNumberFormat="1" applyFont="1" applyBorder="1" applyAlignment="1">
      <alignment horizontal="left" vertical="top" wrapText="1"/>
    </xf>
    <xf numFmtId="0" fontId="2" fillId="0" borderId="1" xfId="7" applyFont="1" applyBorder="1" applyAlignment="1">
      <alignment horizontal="left" vertical="top" wrapText="1"/>
    </xf>
    <xf numFmtId="49" fontId="2" fillId="0" borderId="1" xfId="3" applyNumberFormat="1" applyFont="1" applyBorder="1" applyAlignment="1">
      <alignment horizontal="left" vertical="top" wrapText="1"/>
    </xf>
    <xf numFmtId="49" fontId="8" fillId="0" borderId="2" xfId="7" applyNumberFormat="1" applyFont="1" applyBorder="1" applyAlignment="1">
      <alignment horizontal="center" vertical="top" wrapText="1"/>
    </xf>
    <xf numFmtId="49" fontId="8" fillId="0" borderId="3" xfId="7" applyNumberFormat="1" applyFont="1" applyBorder="1" applyAlignment="1">
      <alignment horizontal="left" vertical="top" wrapText="1"/>
    </xf>
    <xf numFmtId="0" fontId="8" fillId="0" borderId="3" xfId="7" applyFont="1" applyBorder="1" applyAlignment="1">
      <alignment horizontal="left" vertical="top" wrapText="1"/>
    </xf>
    <xf numFmtId="49" fontId="8" fillId="0" borderId="3" xfId="7" applyNumberFormat="1" applyFont="1" applyBorder="1" applyAlignment="1">
      <alignment vertical="top" wrapText="1"/>
    </xf>
    <xf numFmtId="49" fontId="9" fillId="0" borderId="3" xfId="7" applyNumberFormat="1" applyFont="1" applyBorder="1" applyAlignment="1">
      <alignment horizontal="left" vertical="top" wrapText="1"/>
    </xf>
    <xf numFmtId="49" fontId="1" fillId="0" borderId="1" xfId="7" applyNumberFormat="1" applyFont="1" applyBorder="1" applyAlignment="1">
      <alignment vertical="top" wrapText="1"/>
    </xf>
    <xf numFmtId="49" fontId="1" fillId="0" borderId="1" xfId="7" applyNumberFormat="1" applyFont="1" applyBorder="1" applyAlignment="1">
      <alignment horizontal="left" vertical="top" wrapText="1"/>
    </xf>
    <xf numFmtId="0" fontId="0" fillId="0" borderId="1" xfId="0" applyBorder="1"/>
    <xf numFmtId="0" fontId="15" fillId="0" borderId="1" xfId="3" applyFont="1" applyBorder="1" applyAlignment="1">
      <alignment horizontal="left" vertical="top" wrapText="1"/>
    </xf>
    <xf numFmtId="0" fontId="15" fillId="0" borderId="1" xfId="3" quotePrefix="1" applyFont="1" applyBorder="1" applyAlignment="1">
      <alignment horizontal="left" vertical="top" wrapText="1"/>
    </xf>
    <xf numFmtId="0" fontId="15" fillId="0" borderId="1" xfId="0" applyFont="1" applyBorder="1" applyAlignment="1">
      <alignment horizontal="left" vertical="top" wrapText="1"/>
    </xf>
    <xf numFmtId="0" fontId="15" fillId="0" borderId="1" xfId="3" applyFont="1" applyBorder="1" applyAlignment="1">
      <alignment horizontal="center" vertical="top" wrapText="1"/>
    </xf>
    <xf numFmtId="0" fontId="15" fillId="0" borderId="1" xfId="3" applyFont="1" applyBorder="1" applyAlignment="1">
      <alignment vertical="top" wrapText="1"/>
    </xf>
    <xf numFmtId="49" fontId="15" fillId="0" borderId="1" xfId="3" applyNumberFormat="1" applyFont="1" applyBorder="1" applyAlignment="1">
      <alignment horizontal="left" vertical="top" wrapText="1"/>
    </xf>
    <xf numFmtId="0" fontId="16" fillId="0" borderId="1" xfId="3" applyFont="1" applyBorder="1" applyAlignment="1">
      <alignment horizontal="left" vertical="top" wrapText="1"/>
    </xf>
    <xf numFmtId="0" fontId="16" fillId="0" borderId="1" xfId="0" applyFont="1" applyBorder="1" applyAlignment="1">
      <alignment horizontal="left" vertical="top" wrapText="1"/>
    </xf>
    <xf numFmtId="49" fontId="16" fillId="0" borderId="1" xfId="0" applyNumberFormat="1" applyFont="1" applyBorder="1" applyAlignment="1" applyProtection="1">
      <alignment horizontal="left" vertical="top" wrapText="1"/>
      <protection locked="0"/>
    </xf>
    <xf numFmtId="0" fontId="16" fillId="0" borderId="1" xfId="3" applyFont="1" applyBorder="1" applyAlignment="1">
      <alignment vertical="top" wrapText="1"/>
    </xf>
    <xf numFmtId="0" fontId="16" fillId="0" borderId="1" xfId="3" applyFont="1" applyBorder="1" applyAlignment="1">
      <alignment horizontal="center" vertical="top"/>
    </xf>
    <xf numFmtId="0" fontId="15" fillId="0" borderId="1" xfId="0" applyFont="1" applyBorder="1" applyAlignment="1">
      <alignment vertical="top" wrapText="1"/>
    </xf>
    <xf numFmtId="0" fontId="15" fillId="0" borderId="1" xfId="0" applyFont="1" applyBorder="1" applyAlignment="1">
      <alignment horizontal="center" vertical="top" wrapText="1"/>
    </xf>
    <xf numFmtId="0" fontId="17" fillId="0" borderId="1" xfId="3" applyFont="1" applyBorder="1" applyAlignment="1">
      <alignment horizontal="left" vertical="top" wrapText="1"/>
    </xf>
    <xf numFmtId="0" fontId="17" fillId="0" borderId="1" xfId="3" applyFont="1" applyBorder="1" applyAlignment="1">
      <alignment vertical="top" wrapText="1"/>
    </xf>
    <xf numFmtId="49" fontId="17" fillId="0" borderId="1" xfId="3" applyNumberFormat="1" applyFont="1" applyBorder="1" applyAlignment="1">
      <alignment horizontal="left" vertical="top" wrapText="1"/>
    </xf>
    <xf numFmtId="0" fontId="17" fillId="0" borderId="1" xfId="3" applyFont="1" applyBorder="1" applyAlignment="1">
      <alignment horizontal="center" vertical="top" wrapText="1"/>
    </xf>
    <xf numFmtId="0" fontId="15" fillId="0" borderId="1" xfId="1" applyFont="1" applyBorder="1" applyAlignment="1">
      <alignment horizontal="left" vertical="center" wrapText="1"/>
    </xf>
    <xf numFmtId="0" fontId="15" fillId="0" borderId="1" xfId="0" applyFont="1" applyBorder="1" applyAlignment="1">
      <alignment vertical="center" wrapText="1"/>
    </xf>
    <xf numFmtId="0" fontId="18" fillId="0" borderId="1" xfId="1" applyFont="1" applyBorder="1" applyAlignment="1">
      <alignment horizontal="left" vertical="center" wrapText="1"/>
    </xf>
    <xf numFmtId="0" fontId="15" fillId="7" borderId="1" xfId="1" applyFont="1" applyFill="1" applyBorder="1" applyAlignment="1">
      <alignment horizontal="left" vertical="center" wrapText="1"/>
    </xf>
    <xf numFmtId="0" fontId="15" fillId="0" borderId="1" xfId="1" quotePrefix="1" applyFont="1" applyBorder="1" applyAlignment="1">
      <alignment horizontal="left" vertical="center" wrapText="1"/>
    </xf>
    <xf numFmtId="0" fontId="18" fillId="8" borderId="1" xfId="1" applyFont="1" applyFill="1" applyBorder="1" applyAlignment="1">
      <alignment horizontal="left" vertical="center" wrapText="1"/>
    </xf>
    <xf numFmtId="0" fontId="18" fillId="0" borderId="1" xfId="1" applyFont="1" applyBorder="1" applyAlignment="1">
      <alignment horizontal="center" vertical="center" wrapText="1"/>
    </xf>
    <xf numFmtId="0" fontId="15" fillId="9" borderId="1" xfId="1" applyFont="1" applyFill="1" applyBorder="1" applyAlignment="1">
      <alignment horizontal="left" vertical="center" wrapText="1"/>
    </xf>
    <xf numFmtId="0" fontId="18" fillId="3" borderId="1" xfId="1" applyFont="1" applyFill="1" applyBorder="1" applyAlignment="1">
      <alignment horizontal="left" vertical="center" wrapText="1"/>
    </xf>
    <xf numFmtId="0" fontId="18" fillId="3" borderId="1" xfId="1" applyFont="1" applyFill="1" applyBorder="1" applyAlignment="1">
      <alignment horizontal="left" vertical="center"/>
    </xf>
    <xf numFmtId="16" fontId="15" fillId="0" borderId="1" xfId="0" quotePrefix="1" applyNumberFormat="1" applyFont="1" applyBorder="1" applyAlignment="1">
      <alignment vertical="center"/>
    </xf>
    <xf numFmtId="0" fontId="18" fillId="0" borderId="1" xfId="0" applyFont="1" applyBorder="1" applyAlignment="1">
      <alignment vertical="center"/>
    </xf>
    <xf numFmtId="0" fontId="18" fillId="0" borderId="1" xfId="0" applyFont="1" applyBorder="1" applyAlignment="1">
      <alignment vertical="center" wrapText="1"/>
    </xf>
    <xf numFmtId="0" fontId="18" fillId="0" borderId="1" xfId="0" applyFont="1" applyBorder="1" applyAlignment="1">
      <alignment horizontal="center" vertical="center"/>
    </xf>
    <xf numFmtId="0" fontId="15" fillId="0" borderId="1" xfId="0" applyFont="1" applyBorder="1" applyAlignment="1">
      <alignment vertical="center"/>
    </xf>
    <xf numFmtId="0" fontId="15" fillId="0" borderId="1" xfId="1" quotePrefix="1" applyFont="1" applyBorder="1" applyAlignment="1">
      <alignment horizontal="left" wrapText="1"/>
    </xf>
    <xf numFmtId="0" fontId="15" fillId="0" borderId="1" xfId="0" applyFont="1" applyBorder="1" applyAlignment="1">
      <alignment horizontal="center" vertical="center"/>
    </xf>
    <xf numFmtId="0" fontId="18" fillId="0" borderId="1" xfId="1" applyFont="1" applyBorder="1" applyAlignment="1">
      <alignment horizontal="left" vertical="center"/>
    </xf>
    <xf numFmtId="49" fontId="18" fillId="0" borderId="1" xfId="7" applyNumberFormat="1" applyFont="1" applyBorder="1" applyAlignment="1">
      <alignment horizontal="left" vertical="center" wrapText="1"/>
    </xf>
    <xf numFmtId="0" fontId="15" fillId="0" borderId="1" xfId="1" quotePrefix="1" applyFont="1" applyBorder="1" applyAlignment="1">
      <alignment horizontal="left" vertical="center"/>
    </xf>
    <xf numFmtId="0" fontId="15" fillId="0" borderId="1" xfId="1" applyFont="1" applyBorder="1" applyAlignment="1">
      <alignment horizontal="center" vertical="center" wrapText="1"/>
    </xf>
    <xf numFmtId="0" fontId="15" fillId="9" borderId="1" xfId="1" applyFont="1" applyFill="1" applyBorder="1" applyAlignment="1">
      <alignment horizontal="left" vertical="center"/>
    </xf>
    <xf numFmtId="0" fontId="15" fillId="0" borderId="1" xfId="0" applyFont="1" applyBorder="1"/>
    <xf numFmtId="0" fontId="18" fillId="0" borderId="1" xfId="0" applyFont="1" applyBorder="1" applyAlignment="1">
      <alignment wrapText="1"/>
    </xf>
    <xf numFmtId="0" fontId="18" fillId="0" borderId="1" xfId="0" applyFont="1" applyBorder="1"/>
    <xf numFmtId="0" fontId="15" fillId="0" borderId="1" xfId="1" applyFont="1" applyBorder="1" applyAlignment="1">
      <alignment horizontal="left" vertical="center"/>
    </xf>
    <xf numFmtId="49" fontId="19" fillId="0" borderId="1" xfId="1" applyNumberFormat="1" applyFont="1" applyBorder="1" applyAlignment="1">
      <alignment vertical="center" wrapText="1"/>
    </xf>
    <xf numFmtId="49" fontId="15" fillId="0" borderId="1" xfId="1" applyNumberFormat="1" applyFont="1" applyBorder="1" applyAlignment="1">
      <alignment horizontal="left" vertical="center" wrapText="1"/>
    </xf>
    <xf numFmtId="0" fontId="17" fillId="10" borderId="1" xfId="1" applyFont="1" applyFill="1" applyBorder="1" applyAlignment="1">
      <alignment horizontal="left" vertical="center" wrapText="1"/>
    </xf>
    <xf numFmtId="49" fontId="17" fillId="10" borderId="1" xfId="1" applyNumberFormat="1" applyFont="1" applyFill="1" applyBorder="1" applyAlignment="1">
      <alignment horizontal="left" vertical="center" wrapText="1"/>
    </xf>
    <xf numFmtId="0" fontId="17" fillId="10" borderId="1" xfId="1" applyFont="1" applyFill="1" applyBorder="1" applyAlignment="1">
      <alignment horizontal="center" vertical="center" wrapText="1"/>
    </xf>
    <xf numFmtId="49" fontId="8" fillId="3" borderId="2" xfId="7" applyNumberFormat="1" applyFont="1" applyFill="1" applyBorder="1" applyAlignment="1">
      <alignment horizontal="left" vertical="top" wrapText="1"/>
    </xf>
    <xf numFmtId="49" fontId="8" fillId="3" borderId="3" xfId="7" applyNumberFormat="1" applyFont="1" applyFill="1" applyBorder="1" applyAlignment="1">
      <alignment horizontal="left" vertical="top" wrapText="1"/>
    </xf>
    <xf numFmtId="49" fontId="13" fillId="3" borderId="2" xfId="7" applyNumberFormat="1" applyFont="1" applyFill="1" applyBorder="1" applyAlignment="1">
      <alignment horizontal="left" vertical="top" wrapText="1"/>
    </xf>
    <xf numFmtId="49" fontId="13" fillId="3" borderId="3" xfId="7" applyNumberFormat="1" applyFont="1" applyFill="1" applyBorder="1" applyAlignment="1">
      <alignment horizontal="left" vertical="top" wrapText="1"/>
    </xf>
    <xf numFmtId="49" fontId="15" fillId="5" borderId="1" xfId="7" applyNumberFormat="1" applyFont="1" applyFill="1" applyBorder="1" applyAlignment="1">
      <alignment horizontal="left" vertical="center" wrapText="1"/>
    </xf>
    <xf numFmtId="49" fontId="15" fillId="4" borderId="1" xfId="7" applyNumberFormat="1" applyFont="1" applyFill="1" applyBorder="1" applyAlignment="1">
      <alignment horizontal="left" vertical="center" wrapText="1"/>
    </xf>
    <xf numFmtId="49" fontId="16" fillId="3" borderId="1" xfId="7" applyNumberFormat="1" applyFont="1" applyFill="1" applyBorder="1" applyAlignment="1">
      <alignment horizontal="left" vertical="center" wrapText="1"/>
    </xf>
    <xf numFmtId="49" fontId="16" fillId="6" borderId="1" xfId="7" applyNumberFormat="1" applyFont="1" applyFill="1" applyBorder="1" applyAlignment="1">
      <alignment horizontal="left" vertical="center" wrapText="1"/>
    </xf>
    <xf numFmtId="49" fontId="1" fillId="0" borderId="1" xfId="7" applyNumberFormat="1" applyFont="1" applyBorder="1" applyAlignment="1">
      <alignment horizontal="center" vertical="top" wrapText="1"/>
    </xf>
  </cellXfs>
  <cellStyles count="9">
    <cellStyle name="Normal" xfId="0" builtinId="0"/>
    <cellStyle name="Normal 2" xfId="2" xr:uid="{00000000-0005-0000-0000-000000000000}"/>
    <cellStyle name="Normal 2 2" xfId="3" xr:uid="{00000000-0005-0000-0000-000001000000}"/>
    <cellStyle name="Normal 2 3" xfId="7" xr:uid="{00000000-0005-0000-0000-000002000000}"/>
    <cellStyle name="Normal 3" xfId="8" xr:uid="{00000000-0005-0000-0000-000003000000}"/>
    <cellStyle name="常规 2" xfId="1" xr:uid="{00000000-0005-0000-0000-000005000000}"/>
    <cellStyle name="常规 3" xfId="4" xr:uid="{00000000-0005-0000-0000-000006000000}"/>
    <cellStyle name="常规 4" xfId="5" xr:uid="{00000000-0005-0000-0000-000007000000}"/>
    <cellStyle name="常规 5" xfId="6" xr:uid="{00000000-0005-0000-0000-000008000000}"/>
  </cellStyles>
  <dxfs count="1">
    <dxf>
      <font>
        <color theme="0" tint="-0.14996795556505021"/>
      </font>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gfong/RAN4_Active/R4_115%20Malta/Working%20area/RAN4_115_BDaT_meeting_spreadsheet_pre.xlsm" TargetMode="External"/><Relationship Id="rId2" Type="http://schemas.openxmlformats.org/officeDocument/2006/relationships/externalLinkPath" Target="file:///C:\Users\gfong\RAN4_Active\R4_115%20Malta\Working%20area\RAN4_115_BDaT_meeting_spreadsheet_pre.xlsm" TargetMode="External"/><Relationship Id="rId1" Type="http://schemas.openxmlformats.org/officeDocument/2006/relationships/externalLinkPath" Target="/Users/gfong/RAN4_Active/R4_115%20Malta/Working%20area/RAN4_115_BDaT_meeting_spreadsheet_pr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doc_List"/>
      <sheetName val="Settings"/>
      <sheetName val="AI mapping"/>
      <sheetName val="Manual mapping"/>
      <sheetName val="RRM_v00"/>
      <sheetName val="Main_v00"/>
      <sheetName val="BDaT"/>
      <sheetName val="Batch"/>
    </sheetNames>
    <sheetDataSet>
      <sheetData sheetId="0" refreshError="1"/>
      <sheetData sheetId="1" refreshError="1">
        <row r="2">
          <cell r="B2" t="str">
            <v>115</v>
          </cell>
        </row>
      </sheetData>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tabSelected="1" zoomScale="110" zoomScaleNormal="110" workbookViewId="0">
      <selection activeCell="B2" sqref="B2"/>
    </sheetView>
  </sheetViews>
  <sheetFormatPr defaultColWidth="8.81640625" defaultRowHeight="14.5"/>
  <cols>
    <col min="1" max="1" width="7.1796875" style="1" customWidth="1"/>
    <col min="2" max="2" width="34" style="1" customWidth="1"/>
    <col min="3" max="3" width="39" style="1" customWidth="1"/>
    <col min="4" max="4" width="44" style="1" customWidth="1"/>
    <col min="5" max="5" width="78.81640625" style="1" customWidth="1"/>
    <col min="6" max="6" width="19" style="1" customWidth="1"/>
    <col min="7" max="7" width="21.1796875" style="12" customWidth="1"/>
    <col min="8" max="8" width="21.1796875" style="10" customWidth="1"/>
    <col min="9" max="9" width="64.1796875" style="1" customWidth="1"/>
    <col min="10" max="10" width="13.1796875" style="1" customWidth="1"/>
    <col min="11" max="16384" width="8.81640625" style="1"/>
  </cols>
  <sheetData>
    <row r="1" spans="1:10" ht="31">
      <c r="A1" s="7" t="s">
        <v>84</v>
      </c>
      <c r="B1" s="7" t="s">
        <v>0</v>
      </c>
      <c r="C1" s="7" t="s">
        <v>4</v>
      </c>
      <c r="D1" s="7" t="s">
        <v>1</v>
      </c>
      <c r="E1" s="7" t="s">
        <v>2</v>
      </c>
      <c r="F1" s="7" t="s">
        <v>5</v>
      </c>
      <c r="G1" s="11" t="s">
        <v>22</v>
      </c>
      <c r="H1" s="9" t="s">
        <v>42</v>
      </c>
      <c r="I1" s="7" t="s">
        <v>3</v>
      </c>
      <c r="J1" s="7" t="s">
        <v>6</v>
      </c>
    </row>
    <row r="2" spans="1:10" ht="31">
      <c r="A2" s="4">
        <v>100</v>
      </c>
      <c r="B2" s="2" t="s">
        <v>7</v>
      </c>
      <c r="C2" s="3" t="str">
        <f>CONCATENATE("[",A1,"]","[",A2,"] ",B2)</f>
        <v>[120bis][100] Main Session</v>
      </c>
      <c r="D2" s="2" t="s">
        <v>8</v>
      </c>
      <c r="E2" s="2" t="s">
        <v>8</v>
      </c>
      <c r="F2" s="2" t="s">
        <v>8</v>
      </c>
      <c r="G2" s="2" t="s">
        <v>34</v>
      </c>
      <c r="H2" s="8" t="s">
        <v>35</v>
      </c>
      <c r="I2" s="2" t="s">
        <v>9</v>
      </c>
      <c r="J2" s="2"/>
    </row>
    <row r="3" spans="1:10" ht="15.5">
      <c r="A3" s="80" t="s">
        <v>14</v>
      </c>
      <c r="B3" s="81"/>
      <c r="C3" s="81"/>
      <c r="D3" s="81"/>
      <c r="E3" s="81"/>
      <c r="F3" s="81"/>
      <c r="G3" s="81"/>
      <c r="H3" s="81"/>
      <c r="I3" s="81"/>
      <c r="J3" s="81"/>
    </row>
    <row r="4" spans="1:10" ht="15" customHeight="1">
      <c r="A4" s="4" t="s">
        <v>56</v>
      </c>
      <c r="B4" s="2" t="s">
        <v>66</v>
      </c>
      <c r="C4" s="3" t="str">
        <f>CONCATENATE("[",A1,"]","[",A4,"] ",B4)</f>
        <v>[120bis][101-A] 6G system parameter (part I)</v>
      </c>
      <c r="D4" s="3" t="s">
        <v>13</v>
      </c>
      <c r="E4" s="2" t="s">
        <v>57</v>
      </c>
      <c r="F4" s="2" t="s">
        <v>94</v>
      </c>
      <c r="G4" s="2" t="s">
        <v>19</v>
      </c>
      <c r="H4" s="8" t="s">
        <v>36</v>
      </c>
      <c r="I4" s="6"/>
      <c r="J4" s="2"/>
    </row>
    <row r="5" spans="1:10" ht="20.25" customHeight="1">
      <c r="A5" s="4" t="s">
        <v>55</v>
      </c>
      <c r="B5" s="2" t="s">
        <v>67</v>
      </c>
      <c r="C5" s="3" t="str">
        <f>CONCATENATE("[",A1,"]","[",A5,"] ",B5)</f>
        <v>[120bis][101-B] 6G system parameter (part II)</v>
      </c>
      <c r="D5" s="3" t="s">
        <v>13</v>
      </c>
      <c r="E5" s="2" t="s">
        <v>58</v>
      </c>
      <c r="F5" s="2" t="s">
        <v>95</v>
      </c>
      <c r="G5" s="2" t="s">
        <v>19</v>
      </c>
      <c r="H5" s="8" t="s">
        <v>47</v>
      </c>
      <c r="I5" s="6"/>
      <c r="J5" s="2"/>
    </row>
    <row r="6" spans="1:10" ht="17.25" customHeight="1">
      <c r="A6" s="4" t="s">
        <v>59</v>
      </c>
      <c r="B6" s="2" t="s">
        <v>68</v>
      </c>
      <c r="C6" s="3" t="str">
        <f>CONCATENATE("[",A1,"]","[",A6,"] ",B6)</f>
        <v>[120bis][102-A] 6G general RF and UE RF (part I)</v>
      </c>
      <c r="D6" s="3" t="s">
        <v>13</v>
      </c>
      <c r="E6" s="2" t="s">
        <v>61</v>
      </c>
      <c r="F6" s="2" t="s">
        <v>96</v>
      </c>
      <c r="G6" s="2" t="s">
        <v>19</v>
      </c>
      <c r="H6" s="8" t="s">
        <v>37</v>
      </c>
      <c r="I6" s="6"/>
      <c r="J6" s="2"/>
    </row>
    <row r="7" spans="1:10" ht="24" customHeight="1">
      <c r="A7" s="4" t="s">
        <v>60</v>
      </c>
      <c r="B7" s="2" t="s">
        <v>69</v>
      </c>
      <c r="C7" s="3" t="str">
        <f>CONCATENATE("[",A1,"]","[",A7,"] ",B7)</f>
        <v>[120bis][102-B] 6G general RF and UE RF (part II)</v>
      </c>
      <c r="D7" s="3" t="s">
        <v>13</v>
      </c>
      <c r="E7" s="2" t="s">
        <v>62</v>
      </c>
      <c r="F7" s="2" t="s">
        <v>97</v>
      </c>
      <c r="G7" s="2" t="s">
        <v>19</v>
      </c>
      <c r="H7" s="8" t="s">
        <v>48</v>
      </c>
      <c r="I7" s="6"/>
      <c r="J7" s="2"/>
    </row>
    <row r="8" spans="1:10" ht="16" customHeight="1">
      <c r="A8" s="4" t="s">
        <v>63</v>
      </c>
      <c r="B8" s="2" t="s">
        <v>70</v>
      </c>
      <c r="C8" s="3" t="str">
        <f>CONCATENATE("[",A1,"]","[",A8,"] ",B8)</f>
        <v>[120bis][104-A] 6G spectrum (part I)</v>
      </c>
      <c r="D8" s="3" t="s">
        <v>13</v>
      </c>
      <c r="E8" s="30" t="s">
        <v>98</v>
      </c>
      <c r="F8" s="2" t="s">
        <v>82</v>
      </c>
      <c r="G8" s="2" t="s">
        <v>19</v>
      </c>
      <c r="H8" s="8" t="s">
        <v>65</v>
      </c>
      <c r="I8" s="6"/>
      <c r="J8" s="6"/>
    </row>
    <row r="9" spans="1:10" ht="19" customHeight="1">
      <c r="A9" s="4" t="s">
        <v>64</v>
      </c>
      <c r="B9" s="2" t="s">
        <v>71</v>
      </c>
      <c r="C9" s="3" t="str">
        <f>CONCATENATE("[",A1,"]","[",A9,"] ",B9)</f>
        <v>[120bis][104-B] 6G spectrum (part II)</v>
      </c>
      <c r="D9" s="3" t="s">
        <v>13</v>
      </c>
      <c r="E9" s="30" t="s">
        <v>99</v>
      </c>
      <c r="F9" s="2" t="s">
        <v>83</v>
      </c>
      <c r="G9" s="2" t="s">
        <v>19</v>
      </c>
      <c r="H9" s="8" t="s">
        <v>54</v>
      </c>
      <c r="I9" s="6"/>
      <c r="J9" s="6"/>
    </row>
    <row r="10" spans="1:10" ht="31">
      <c r="A10" s="4" t="s">
        <v>78</v>
      </c>
      <c r="B10" s="2" t="s">
        <v>72</v>
      </c>
      <c r="C10" s="3" t="str">
        <f>CONCATENATE("[",A1,"]","[",A10,"] ",B10)</f>
        <v>[120bis][105-A] 6G RRM (part I)</v>
      </c>
      <c r="D10" s="3" t="s">
        <v>13</v>
      </c>
      <c r="E10" s="2" t="s">
        <v>105</v>
      </c>
      <c r="F10" s="2" t="s">
        <v>108</v>
      </c>
      <c r="G10" s="2" t="s">
        <v>19</v>
      </c>
      <c r="H10" s="8" t="s">
        <v>38</v>
      </c>
      <c r="I10" s="2"/>
      <c r="J10" s="2"/>
    </row>
    <row r="11" spans="1:10" ht="31">
      <c r="A11" s="4" t="s">
        <v>79</v>
      </c>
      <c r="B11" s="2" t="s">
        <v>73</v>
      </c>
      <c r="C11" s="3" t="str">
        <f>CONCATENATE("[",A1,"]","[",A11,"] ",B11)</f>
        <v>[120bis][105-B] 6G RRM (part II)</v>
      </c>
      <c r="D11" s="3" t="s">
        <v>13</v>
      </c>
      <c r="E11" s="2" t="s">
        <v>106</v>
      </c>
      <c r="F11" s="2" t="s">
        <v>107</v>
      </c>
      <c r="G11" s="2" t="s">
        <v>19</v>
      </c>
      <c r="H11" s="8" t="s">
        <v>74</v>
      </c>
      <c r="I11" s="2"/>
      <c r="J11" s="2"/>
    </row>
    <row r="12" spans="1:10" ht="31">
      <c r="A12" s="4" t="s">
        <v>92</v>
      </c>
      <c r="B12" s="2" t="s">
        <v>100</v>
      </c>
      <c r="C12" s="3" t="str">
        <f>CONCATENATE("[",A1,"]","[",A12,"] ",B12)</f>
        <v>[120bis][107-A] 6G AI (part I)</v>
      </c>
      <c r="D12" s="3" t="s">
        <v>13</v>
      </c>
      <c r="E12" s="2" t="s">
        <v>110</v>
      </c>
      <c r="F12" s="2" t="s">
        <v>109</v>
      </c>
      <c r="G12" s="2" t="s">
        <v>19</v>
      </c>
      <c r="H12" s="8" t="s">
        <v>39</v>
      </c>
      <c r="I12" s="5"/>
      <c r="J12" s="2"/>
    </row>
    <row r="13" spans="1:10" ht="15.5">
      <c r="A13" s="4" t="s">
        <v>93</v>
      </c>
      <c r="B13" s="2" t="s">
        <v>101</v>
      </c>
      <c r="C13" s="3" t="str">
        <f>CONCATENATE("[",A1,"]","[",A13,"] ",B13)</f>
        <v>[120bis][107-B] 6G AI (part II)</v>
      </c>
      <c r="D13" s="3" t="s">
        <v>13</v>
      </c>
      <c r="E13" s="2" t="s">
        <v>102</v>
      </c>
      <c r="F13" s="2" t="s">
        <v>103</v>
      </c>
      <c r="G13" s="2" t="s">
        <v>19</v>
      </c>
      <c r="H13" s="8" t="s">
        <v>104</v>
      </c>
      <c r="I13" s="5"/>
      <c r="J13" s="2"/>
    </row>
    <row r="14" spans="1:10" ht="15.5">
      <c r="A14" s="4" t="s">
        <v>10</v>
      </c>
      <c r="B14" s="2" t="s">
        <v>15</v>
      </c>
      <c r="C14" s="3" t="str">
        <f>CONCATENATE("[",A1,"]","[",A14,"] ",B14)</f>
        <v>[120bis][108] 6G spectrum sharing</v>
      </c>
      <c r="D14" s="3" t="s">
        <v>13</v>
      </c>
      <c r="E14" s="2" t="s">
        <v>15</v>
      </c>
      <c r="F14" s="2" t="s">
        <v>17</v>
      </c>
      <c r="G14" s="2" t="s">
        <v>19</v>
      </c>
      <c r="H14" s="8" t="s">
        <v>40</v>
      </c>
      <c r="I14" s="5"/>
      <c r="J14" s="2"/>
    </row>
    <row r="15" spans="1:10" ht="20.25" customHeight="1">
      <c r="A15" s="4" t="s">
        <v>11</v>
      </c>
      <c r="B15" s="2" t="s">
        <v>16</v>
      </c>
      <c r="C15" s="3" t="str">
        <f>CONCATENATE("[",A1,"]","[",A15,"] ",B15)</f>
        <v>[120bis][111] 6G operation efficiency</v>
      </c>
      <c r="D15" s="3" t="s">
        <v>13</v>
      </c>
      <c r="E15" s="2" t="s">
        <v>16</v>
      </c>
      <c r="F15" s="2" t="s">
        <v>18</v>
      </c>
      <c r="G15" s="2" t="s">
        <v>19</v>
      </c>
      <c r="H15" s="8" t="s">
        <v>23</v>
      </c>
      <c r="I15" s="5"/>
      <c r="J15" s="2"/>
    </row>
    <row r="16" spans="1:10" s="18" customFormat="1" ht="19" customHeight="1">
      <c r="A16" s="82" t="s">
        <v>30</v>
      </c>
      <c r="B16" s="83"/>
      <c r="C16" s="83"/>
      <c r="D16" s="83"/>
      <c r="E16" s="83"/>
      <c r="F16" s="83"/>
      <c r="G16" s="83"/>
      <c r="H16" s="83"/>
      <c r="I16" s="83"/>
      <c r="J16" s="83"/>
    </row>
    <row r="17" spans="1:10" ht="20.25" customHeight="1">
      <c r="A17" s="24" t="s">
        <v>12</v>
      </c>
      <c r="B17" s="25" t="s">
        <v>87</v>
      </c>
      <c r="C17" s="22" t="str">
        <f>CONCATENATE("[",A1,"]","[",A17,"] ",B17)</f>
        <v>[120bis][112] TEI20</v>
      </c>
      <c r="D17" s="26" t="s">
        <v>87</v>
      </c>
      <c r="E17" s="25" t="s">
        <v>87</v>
      </c>
      <c r="F17" s="25" t="s">
        <v>88</v>
      </c>
      <c r="G17" s="25" t="s">
        <v>26</v>
      </c>
      <c r="H17" s="27" t="s">
        <v>91</v>
      </c>
      <c r="I17" s="28"/>
      <c r="J17" s="25"/>
    </row>
    <row r="18" spans="1:10" s="18" customFormat="1" ht="19" customHeight="1">
      <c r="A18" s="82" t="s">
        <v>30</v>
      </c>
      <c r="B18" s="83"/>
      <c r="C18" s="83"/>
      <c r="D18" s="83"/>
      <c r="E18" s="83"/>
      <c r="F18" s="83"/>
      <c r="G18" s="83"/>
      <c r="H18" s="83"/>
      <c r="I18" s="83"/>
      <c r="J18" s="83"/>
    </row>
    <row r="19" spans="1:10" ht="19" customHeight="1">
      <c r="A19" s="88" t="s">
        <v>466</v>
      </c>
      <c r="B19" s="21" t="s">
        <v>85</v>
      </c>
      <c r="C19" s="22" t="str">
        <f>CONCATENATE("[",A1,"]","[",A19,"] ",B19)</f>
        <v>[120bis][113] R19_PC2 FDD HPUE duty cycle</v>
      </c>
      <c r="D19" s="21" t="s">
        <v>25</v>
      </c>
      <c r="E19" s="21" t="s">
        <v>86</v>
      </c>
      <c r="F19" s="21" t="s">
        <v>90</v>
      </c>
      <c r="G19" s="12" t="s">
        <v>89</v>
      </c>
      <c r="H19" s="29" t="s">
        <v>43</v>
      </c>
      <c r="J19" s="23"/>
    </row>
    <row r="20" spans="1:10" s="18" customFormat="1" ht="15.5">
      <c r="A20" s="82" t="s">
        <v>31</v>
      </c>
      <c r="B20" s="83"/>
      <c r="C20" s="83"/>
      <c r="D20" s="83"/>
      <c r="E20" s="83"/>
      <c r="F20" s="83"/>
      <c r="G20" s="83"/>
      <c r="H20" s="83"/>
      <c r="I20" s="83"/>
      <c r="J20" s="83"/>
    </row>
    <row r="21" spans="1:10" s="18" customFormat="1" ht="126" customHeight="1">
      <c r="A21" s="13" t="s">
        <v>21</v>
      </c>
      <c r="B21" s="14" t="s">
        <v>32</v>
      </c>
      <c r="C21" s="15" t="str">
        <f>CONCATENATE("[",A1,"]","[",A21,"] ",B21)</f>
        <v>[120bis][114] R19_UERF_maintenance_Part1</v>
      </c>
      <c r="D21" s="14" t="s">
        <v>24</v>
      </c>
      <c r="E21" s="14" t="s">
        <v>75</v>
      </c>
      <c r="F21" s="14" t="s">
        <v>80</v>
      </c>
      <c r="G21" s="16" t="s">
        <v>26</v>
      </c>
      <c r="H21" s="17"/>
      <c r="J21" s="19" t="s">
        <v>20</v>
      </c>
    </row>
    <row r="22" spans="1:10" s="18" customFormat="1" ht="167.25" customHeight="1">
      <c r="A22" s="13" t="s">
        <v>27</v>
      </c>
      <c r="B22" s="14" t="s">
        <v>29</v>
      </c>
      <c r="C22" s="15" t="str">
        <f>CONCATENATE("[",A1,"]","[",A22,"] ",B22)</f>
        <v>[120bis][115] R19_UERF_maintenance_Part2</v>
      </c>
      <c r="D22" s="14" t="s">
        <v>24</v>
      </c>
      <c r="E22" s="14" t="s">
        <v>76</v>
      </c>
      <c r="F22" s="14" t="s">
        <v>77</v>
      </c>
      <c r="G22" s="14" t="s">
        <v>26</v>
      </c>
      <c r="H22" s="20"/>
      <c r="J22" s="19" t="s">
        <v>33</v>
      </c>
    </row>
    <row r="23" spans="1:10" s="18" customFormat="1" ht="46.5">
      <c r="A23" s="13" t="s">
        <v>28</v>
      </c>
      <c r="B23" s="14" t="s">
        <v>81</v>
      </c>
      <c r="C23" s="15" t="str">
        <f>CONCATENATE("[",A1,"]","[",A23,"] ",B23)</f>
        <v>[120bis][116] R18_UERF_maintenance</v>
      </c>
      <c r="D23" s="14" t="s">
        <v>49</v>
      </c>
      <c r="E23" s="14" t="s">
        <v>53</v>
      </c>
      <c r="F23" s="14" t="s">
        <v>51</v>
      </c>
      <c r="G23" s="16">
        <v>10.1</v>
      </c>
      <c r="H23" s="14"/>
      <c r="J23" s="19" t="s">
        <v>44</v>
      </c>
    </row>
    <row r="24" spans="1:10" s="18" customFormat="1" ht="77.5">
      <c r="A24" s="13" t="s">
        <v>41</v>
      </c>
      <c r="B24" s="14" t="s">
        <v>45</v>
      </c>
      <c r="C24" s="15" t="str">
        <f>CONCATENATE("[",A1,"]","[",A24,"] ",B24)</f>
        <v>[120bis][117] Upto_R17_UERF_maintenance</v>
      </c>
      <c r="D24" s="14" t="s">
        <v>46</v>
      </c>
      <c r="E24" s="14" t="s">
        <v>52</v>
      </c>
      <c r="F24" s="14" t="s">
        <v>50</v>
      </c>
      <c r="G24" s="16">
        <v>10.1</v>
      </c>
      <c r="H24" s="14"/>
      <c r="J24" s="19" t="s">
        <v>20</v>
      </c>
    </row>
  </sheetData>
  <mergeCells count="4">
    <mergeCell ref="A3:J3"/>
    <mergeCell ref="A16:J16"/>
    <mergeCell ref="A18:J18"/>
    <mergeCell ref="A20:J20"/>
  </mergeCells>
  <phoneticPr fontId="1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480A0-4013-B149-88A2-14482B091FA7}">
  <dimension ref="A1:I26"/>
  <sheetViews>
    <sheetView topLeftCell="A17" workbookViewId="0">
      <selection activeCell="A23" sqref="A23:I23"/>
    </sheetView>
  </sheetViews>
  <sheetFormatPr defaultColWidth="8.81640625" defaultRowHeight="14.5"/>
  <cols>
    <col min="2" max="2" width="22" customWidth="1"/>
    <col min="3" max="3" width="23.453125" customWidth="1"/>
    <col min="4" max="4" width="28.1796875" customWidth="1"/>
    <col min="5" max="5" width="30.81640625" customWidth="1"/>
    <col min="6" max="6" width="14.1796875" customWidth="1"/>
    <col min="7" max="7" width="14.6328125" customWidth="1"/>
  </cols>
  <sheetData>
    <row r="1" spans="1:9" ht="29" customHeight="1">
      <c r="A1" s="48" t="s">
        <v>221</v>
      </c>
      <c r="B1" s="45" t="s">
        <v>0</v>
      </c>
      <c r="C1" s="45" t="s">
        <v>220</v>
      </c>
      <c r="D1" s="45" t="s">
        <v>1</v>
      </c>
      <c r="E1" s="45" t="s">
        <v>2</v>
      </c>
      <c r="F1" s="47" t="s">
        <v>219</v>
      </c>
      <c r="G1" s="46" t="s">
        <v>218</v>
      </c>
      <c r="H1" s="45" t="s">
        <v>22</v>
      </c>
      <c r="I1" s="45" t="s">
        <v>217</v>
      </c>
    </row>
    <row r="2" spans="1:9" ht="38" customHeight="1">
      <c r="A2" s="44">
        <v>200</v>
      </c>
      <c r="B2" s="34" t="s">
        <v>216</v>
      </c>
      <c r="C2" s="34" t="str">
        <f>CONCATENATE("[120bis]","[",A2,"] ",B2)</f>
        <v>[120bis][200] RRM_Demod_OTA_Session</v>
      </c>
      <c r="D2" s="34" t="s">
        <v>215</v>
      </c>
      <c r="E2" s="34" t="s">
        <v>215</v>
      </c>
      <c r="F2" s="34" t="s">
        <v>215</v>
      </c>
      <c r="G2" s="43" t="s">
        <v>214</v>
      </c>
      <c r="H2" s="34"/>
      <c r="I2" s="31"/>
    </row>
    <row r="3" spans="1:9" ht="15.5" customHeight="1">
      <c r="A3" s="86" t="s">
        <v>213</v>
      </c>
      <c r="B3" s="86"/>
      <c r="C3" s="86"/>
      <c r="D3" s="86"/>
      <c r="E3" s="86"/>
      <c r="F3" s="86"/>
      <c r="G3" s="86"/>
      <c r="H3" s="86"/>
      <c r="I3" s="86"/>
    </row>
    <row r="4" spans="1:9" ht="62">
      <c r="A4" s="42">
        <v>201</v>
      </c>
      <c r="B4" s="39" t="s">
        <v>212</v>
      </c>
      <c r="C4" s="34" t="str">
        <f t="shared" ref="C4:C12" si="0">CONCATENATE("[120bis]","[",A4,"] ",B4)</f>
        <v>[120bis][201] NR_RRM_Ph6</v>
      </c>
      <c r="D4" s="38" t="s">
        <v>149</v>
      </c>
      <c r="E4" s="32" t="s">
        <v>211</v>
      </c>
      <c r="F4" s="37" t="s">
        <v>210</v>
      </c>
      <c r="G4" s="41" t="s">
        <v>209</v>
      </c>
      <c r="H4" s="38" t="s">
        <v>145</v>
      </c>
      <c r="I4" s="31"/>
    </row>
    <row r="5" spans="1:9" ht="46.5" customHeight="1">
      <c r="A5" s="42">
        <v>202</v>
      </c>
      <c r="B5" s="39" t="s">
        <v>208</v>
      </c>
      <c r="C5" s="34" t="str">
        <f t="shared" si="0"/>
        <v>[120bis][202] NR_UAV_req_RRM</v>
      </c>
      <c r="D5" s="38" t="s">
        <v>207</v>
      </c>
      <c r="E5" s="38" t="s">
        <v>206</v>
      </c>
      <c r="F5" s="37" t="s">
        <v>205</v>
      </c>
      <c r="G5" s="41" t="s">
        <v>204</v>
      </c>
      <c r="H5" s="38" t="s">
        <v>203</v>
      </c>
      <c r="I5" s="31"/>
    </row>
    <row r="6" spans="1:9" ht="34.5" customHeight="1">
      <c r="A6" s="42">
        <v>203</v>
      </c>
      <c r="B6" s="39" t="s">
        <v>202</v>
      </c>
      <c r="C6" s="34" t="str">
        <f t="shared" si="0"/>
        <v>[120bis][203] NR_LBCA_Sw_enh_RRM</v>
      </c>
      <c r="D6" s="38" t="s">
        <v>201</v>
      </c>
      <c r="E6" s="38" t="s">
        <v>200</v>
      </c>
      <c r="F6" s="37" t="s">
        <v>199</v>
      </c>
      <c r="G6" s="41" t="s">
        <v>198</v>
      </c>
      <c r="H6" s="38" t="s">
        <v>197</v>
      </c>
      <c r="I6" s="31"/>
    </row>
    <row r="7" spans="1:9" ht="62">
      <c r="A7" s="42">
        <v>204</v>
      </c>
      <c r="B7" s="39" t="s">
        <v>196</v>
      </c>
      <c r="C7" s="34" t="str">
        <f t="shared" si="0"/>
        <v>[120bis][204] NR_IncMon_RRM</v>
      </c>
      <c r="D7" s="38" t="s">
        <v>195</v>
      </c>
      <c r="E7" s="38" t="s">
        <v>194</v>
      </c>
      <c r="F7" s="37" t="s">
        <v>193</v>
      </c>
      <c r="G7" s="41" t="s">
        <v>192</v>
      </c>
      <c r="H7" s="38" t="s">
        <v>191</v>
      </c>
      <c r="I7" s="31"/>
    </row>
    <row r="8" spans="1:9" ht="38.5" customHeight="1">
      <c r="A8" s="42">
        <v>205</v>
      </c>
      <c r="B8" s="40" t="s">
        <v>190</v>
      </c>
      <c r="C8" s="34" t="str">
        <f t="shared" si="0"/>
        <v>[120bis][205] NR_MIMO_Ph6_RRM</v>
      </c>
      <c r="D8" s="38" t="s">
        <v>189</v>
      </c>
      <c r="E8" s="38" t="s">
        <v>178</v>
      </c>
      <c r="F8" s="37" t="s">
        <v>188</v>
      </c>
      <c r="G8" s="41" t="s">
        <v>187</v>
      </c>
      <c r="H8" s="38" t="s">
        <v>186</v>
      </c>
      <c r="I8" s="31"/>
    </row>
    <row r="9" spans="1:9" ht="46.5">
      <c r="A9" s="42">
        <v>206</v>
      </c>
      <c r="B9" s="40" t="s">
        <v>185</v>
      </c>
      <c r="C9" s="34" t="str">
        <f t="shared" si="0"/>
        <v>[120bis][206] NR_AIML_Mob_RRM</v>
      </c>
      <c r="D9" s="38" t="s">
        <v>184</v>
      </c>
      <c r="E9" s="38" t="s">
        <v>178</v>
      </c>
      <c r="F9" s="37" t="s">
        <v>183</v>
      </c>
      <c r="G9" s="41" t="s">
        <v>182</v>
      </c>
      <c r="H9" s="38" t="s">
        <v>181</v>
      </c>
      <c r="I9" s="31"/>
    </row>
    <row r="10" spans="1:9" ht="31">
      <c r="A10" s="42">
        <v>207</v>
      </c>
      <c r="B10" s="40" t="s">
        <v>180</v>
      </c>
      <c r="C10" s="34" t="str">
        <f t="shared" si="0"/>
        <v>[120bis][207] NR_Mob_Ph5_RRM</v>
      </c>
      <c r="D10" s="40" t="s">
        <v>179</v>
      </c>
      <c r="E10" s="38" t="s">
        <v>178</v>
      </c>
      <c r="F10" s="40" t="s">
        <v>177</v>
      </c>
      <c r="G10" s="41" t="s">
        <v>176</v>
      </c>
      <c r="H10" s="40" t="s">
        <v>175</v>
      </c>
      <c r="I10" s="31"/>
    </row>
    <row r="11" spans="1:9" ht="46.5">
      <c r="A11" s="42">
        <v>208</v>
      </c>
      <c r="B11" s="40" t="s">
        <v>174</v>
      </c>
      <c r="C11" s="34" t="str">
        <f t="shared" si="0"/>
        <v>[120bis][208] NR_NTN_GNSS_resilient_RRM</v>
      </c>
      <c r="D11" s="40" t="s">
        <v>173</v>
      </c>
      <c r="E11" s="38" t="s">
        <v>172</v>
      </c>
      <c r="F11" s="40" t="s">
        <v>171</v>
      </c>
      <c r="G11" s="41" t="s">
        <v>170</v>
      </c>
      <c r="H11" s="40" t="s">
        <v>169</v>
      </c>
      <c r="I11" s="31"/>
    </row>
    <row r="12" spans="1:9" ht="40" customHeight="1">
      <c r="A12" s="42">
        <v>209</v>
      </c>
      <c r="B12" s="40" t="s">
        <v>168</v>
      </c>
      <c r="C12" s="34" t="str">
        <f t="shared" si="0"/>
        <v>[120bis][209] Ambient_IoT_Ph2_RRM</v>
      </c>
      <c r="D12" s="40" t="s">
        <v>167</v>
      </c>
      <c r="E12" s="38" t="s">
        <v>166</v>
      </c>
      <c r="F12" s="40" t="s">
        <v>165</v>
      </c>
      <c r="G12" s="41" t="s">
        <v>164</v>
      </c>
      <c r="H12" s="40" t="s">
        <v>163</v>
      </c>
      <c r="I12" s="31"/>
    </row>
    <row r="13" spans="1:9" ht="22.5" customHeight="1">
      <c r="A13" s="87" t="s">
        <v>162</v>
      </c>
      <c r="B13" s="87"/>
      <c r="C13" s="87"/>
      <c r="D13" s="87"/>
      <c r="E13" s="87"/>
      <c r="F13" s="87"/>
      <c r="G13" s="87"/>
      <c r="H13" s="87"/>
      <c r="I13" s="87"/>
    </row>
    <row r="14" spans="1:9" ht="96.5" customHeight="1">
      <c r="A14" s="35">
        <v>210</v>
      </c>
      <c r="B14" s="39" t="s">
        <v>161</v>
      </c>
      <c r="C14" s="34" t="str">
        <f>CONCATENATE("[120bis]","[",A14,"] ",B14)</f>
        <v>[120bis][210] NR_demod_Ph6</v>
      </c>
      <c r="D14" s="38" t="s">
        <v>160</v>
      </c>
      <c r="E14" s="38" t="s">
        <v>159</v>
      </c>
      <c r="F14" s="37" t="s">
        <v>158</v>
      </c>
      <c r="G14" s="36" t="s">
        <v>140</v>
      </c>
      <c r="H14" s="32" t="s">
        <v>157</v>
      </c>
      <c r="I14" s="31"/>
    </row>
    <row r="15" spans="1:9" ht="77.5">
      <c r="A15" s="35">
        <v>211</v>
      </c>
      <c r="B15" s="39" t="s">
        <v>156</v>
      </c>
      <c r="C15" s="34" t="str">
        <f>CONCATENATE("[120bis]","[",A15,"] ",B15)</f>
        <v>[120bis][211] FS_NR_demod_SCM</v>
      </c>
      <c r="D15" s="38" t="s">
        <v>155</v>
      </c>
      <c r="E15" s="38" t="s">
        <v>154</v>
      </c>
      <c r="F15" s="37" t="s">
        <v>153</v>
      </c>
      <c r="G15" s="36" t="s">
        <v>152</v>
      </c>
      <c r="H15" s="37" t="s">
        <v>151</v>
      </c>
      <c r="I15" s="31"/>
    </row>
    <row r="16" spans="1:9" ht="40" customHeight="1">
      <c r="A16" s="35">
        <v>212</v>
      </c>
      <c r="B16" s="39" t="s">
        <v>150</v>
      </c>
      <c r="C16" s="34" t="str">
        <f>CONCATENATE("[120bis]","[",A16,"] ",B16)</f>
        <v>[120bis][212] NR_RRM_Ph6_demod</v>
      </c>
      <c r="D16" s="38" t="s">
        <v>149</v>
      </c>
      <c r="E16" s="38" t="s">
        <v>148</v>
      </c>
      <c r="F16" s="37" t="s">
        <v>147</v>
      </c>
      <c r="G16" s="36" t="s">
        <v>146</v>
      </c>
      <c r="H16" s="37" t="s">
        <v>145</v>
      </c>
      <c r="I16" s="31"/>
    </row>
    <row r="17" spans="1:9" ht="48" customHeight="1">
      <c r="A17" s="35">
        <v>213</v>
      </c>
      <c r="B17" s="39" t="s">
        <v>144</v>
      </c>
      <c r="C17" s="34" t="str">
        <f>CONCATENATE("[120bis]","[",A17,"] ",B17)</f>
        <v>[120bis][213] NR_cov_Ph3_demod</v>
      </c>
      <c r="D17" s="38" t="s">
        <v>143</v>
      </c>
      <c r="E17" s="38" t="s">
        <v>142</v>
      </c>
      <c r="F17" s="37" t="s">
        <v>141</v>
      </c>
      <c r="G17" s="36" t="s">
        <v>140</v>
      </c>
      <c r="H17" s="37" t="s">
        <v>139</v>
      </c>
      <c r="I17" s="31"/>
    </row>
    <row r="18" spans="1:9" ht="18.5" customHeight="1">
      <c r="A18" s="87" t="s">
        <v>138</v>
      </c>
      <c r="B18" s="87"/>
      <c r="C18" s="87"/>
      <c r="D18" s="87"/>
      <c r="E18" s="87"/>
      <c r="F18" s="87"/>
      <c r="G18" s="87"/>
      <c r="H18" s="87"/>
      <c r="I18" s="87"/>
    </row>
    <row r="19" spans="1:9" ht="50" customHeight="1">
      <c r="A19" s="35">
        <v>214</v>
      </c>
      <c r="B19" s="36" t="s">
        <v>137</v>
      </c>
      <c r="C19" s="34" t="str">
        <f>CONCATENATE("[120bis]","[",A19,"] ",B19)</f>
        <v>[120bis][214] 6G_Demod_Part1</v>
      </c>
      <c r="D19" s="36" t="s">
        <v>122</v>
      </c>
      <c r="E19" s="36" t="s">
        <v>136</v>
      </c>
      <c r="F19" s="36" t="s">
        <v>132</v>
      </c>
      <c r="G19" s="36" t="s">
        <v>135</v>
      </c>
      <c r="H19" s="36" t="s">
        <v>118</v>
      </c>
      <c r="I19" s="31"/>
    </row>
    <row r="20" spans="1:9" ht="49.5" customHeight="1">
      <c r="A20" s="35">
        <v>215</v>
      </c>
      <c r="B20" s="36" t="s">
        <v>134</v>
      </c>
      <c r="C20" s="34" t="str">
        <f>CONCATENATE("[120bis]","[",A20,"] ",B20)</f>
        <v>[120bis][215] 6G_Demod_Part2</v>
      </c>
      <c r="D20" s="32" t="s">
        <v>122</v>
      </c>
      <c r="E20" s="36" t="s">
        <v>133</v>
      </c>
      <c r="F20" s="36" t="s">
        <v>132</v>
      </c>
      <c r="G20" s="36" t="s">
        <v>131</v>
      </c>
      <c r="H20" s="36" t="s">
        <v>118</v>
      </c>
      <c r="I20" s="31"/>
    </row>
    <row r="21" spans="1:9" ht="20.5" customHeight="1">
      <c r="A21" s="84" t="s">
        <v>130</v>
      </c>
      <c r="B21" s="84"/>
      <c r="C21" s="84"/>
      <c r="D21" s="84"/>
      <c r="E21" s="84"/>
      <c r="F21" s="84"/>
      <c r="G21" s="84"/>
      <c r="H21" s="84"/>
      <c r="I21" s="84"/>
    </row>
    <row r="22" spans="1:9" ht="126" customHeight="1">
      <c r="A22" s="35">
        <v>216</v>
      </c>
      <c r="B22" s="32" t="s">
        <v>129</v>
      </c>
      <c r="C22" s="34" t="str">
        <f>CONCATENATE("[120bis]","[",A22,"] ",B22)</f>
        <v>[120bis][216] NR_UE_OTA_Enh</v>
      </c>
      <c r="D22" s="32" t="s">
        <v>128</v>
      </c>
      <c r="E22" s="32" t="s">
        <v>127</v>
      </c>
      <c r="F22" s="32">
        <v>7.3</v>
      </c>
      <c r="G22" s="32" t="s">
        <v>126</v>
      </c>
      <c r="H22" s="32" t="s">
        <v>125</v>
      </c>
      <c r="I22" s="31"/>
    </row>
    <row r="23" spans="1:9" ht="21" customHeight="1">
      <c r="A23" s="84" t="s">
        <v>124</v>
      </c>
      <c r="B23" s="84"/>
      <c r="C23" s="84"/>
      <c r="D23" s="84"/>
      <c r="E23" s="84"/>
      <c r="F23" s="84"/>
      <c r="G23" s="84"/>
      <c r="H23" s="84"/>
      <c r="I23" s="84"/>
    </row>
    <row r="24" spans="1:9" ht="40" customHeight="1">
      <c r="A24" s="35">
        <v>217</v>
      </c>
      <c r="B24" s="32" t="s">
        <v>123</v>
      </c>
      <c r="C24" s="34" t="str">
        <f>CONCATENATE("[120bis]","[",A24,"] ",B24)</f>
        <v>[120bis][217] 6G_testability_OTA</v>
      </c>
      <c r="D24" s="32" t="s">
        <v>122</v>
      </c>
      <c r="E24" s="32" t="s">
        <v>121</v>
      </c>
      <c r="F24" s="32" t="s">
        <v>120</v>
      </c>
      <c r="G24" s="32" t="s">
        <v>119</v>
      </c>
      <c r="H24" s="36" t="s">
        <v>118</v>
      </c>
      <c r="I24" s="31"/>
    </row>
    <row r="25" spans="1:9" ht="22.5" customHeight="1">
      <c r="A25" s="85" t="s">
        <v>117</v>
      </c>
      <c r="B25" s="85"/>
      <c r="C25" s="85"/>
      <c r="D25" s="85"/>
      <c r="E25" s="85"/>
      <c r="F25" s="85"/>
      <c r="G25" s="85"/>
      <c r="H25" s="85"/>
      <c r="I25" s="85"/>
    </row>
    <row r="26" spans="1:9" ht="80.5" customHeight="1">
      <c r="A26" s="35">
        <v>218</v>
      </c>
      <c r="B26" s="32" t="s">
        <v>116</v>
      </c>
      <c r="C26" s="34" t="str">
        <f>CONCATENATE("[120bis]","[",A26,"] ",B26)</f>
        <v>[120bis][218] NR_AIML_air_Ph2</v>
      </c>
      <c r="D26" s="32" t="s">
        <v>115</v>
      </c>
      <c r="E26" s="32" t="s">
        <v>114</v>
      </c>
      <c r="F26" s="33" t="s">
        <v>113</v>
      </c>
      <c r="G26" s="32" t="s">
        <v>112</v>
      </c>
      <c r="H26" s="32" t="s">
        <v>111</v>
      </c>
      <c r="I26" s="31"/>
    </row>
  </sheetData>
  <mergeCells count="6">
    <mergeCell ref="A23:I23"/>
    <mergeCell ref="A25:I25"/>
    <mergeCell ref="A3:I3"/>
    <mergeCell ref="A13:I13"/>
    <mergeCell ref="A18:I18"/>
    <mergeCell ref="A21:I2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E9AD1-94A2-824F-940B-E619C60BA7A6}">
  <dimension ref="A1:L51"/>
  <sheetViews>
    <sheetView topLeftCell="A28" zoomScale="75" zoomScaleNormal="75" workbookViewId="0">
      <selection activeCell="E39" sqref="E39"/>
    </sheetView>
  </sheetViews>
  <sheetFormatPr defaultColWidth="8.81640625" defaultRowHeight="14.5"/>
  <cols>
    <col min="1" max="1" width="16.453125" customWidth="1"/>
    <col min="2" max="2" width="41.453125" bestFit="1" customWidth="1"/>
    <col min="3" max="3" width="38.453125" customWidth="1"/>
    <col min="4" max="4" width="41.6328125" bestFit="1" customWidth="1"/>
    <col min="5" max="5" width="49.453125" customWidth="1"/>
    <col min="6" max="6" width="33" customWidth="1"/>
    <col min="7" max="7" width="26.1796875" customWidth="1"/>
    <col min="8" max="8" width="21.453125" customWidth="1"/>
    <col min="9" max="9" width="15.453125" customWidth="1"/>
    <col min="10" max="10" width="45" customWidth="1"/>
    <col min="11" max="11" width="16.6328125" customWidth="1"/>
    <col min="12" max="12" width="15.453125" customWidth="1"/>
  </cols>
  <sheetData>
    <row r="1" spans="1:12" ht="62">
      <c r="A1" s="79" t="s">
        <v>465</v>
      </c>
      <c r="B1" s="77" t="s">
        <v>0</v>
      </c>
      <c r="C1" s="77" t="s">
        <v>464</v>
      </c>
      <c r="D1" s="77" t="s">
        <v>1</v>
      </c>
      <c r="E1" s="77" t="s">
        <v>2</v>
      </c>
      <c r="F1" s="78" t="s">
        <v>463</v>
      </c>
      <c r="G1" s="77" t="s">
        <v>218</v>
      </c>
      <c r="H1" s="77" t="s">
        <v>462</v>
      </c>
      <c r="I1" s="77" t="s">
        <v>461</v>
      </c>
      <c r="J1" s="77" t="s">
        <v>3</v>
      </c>
      <c r="K1" s="77" t="s">
        <v>460</v>
      </c>
      <c r="L1" s="77" t="s">
        <v>459</v>
      </c>
    </row>
    <row r="2" spans="1:12" ht="46.5">
      <c r="A2" s="69">
        <v>300</v>
      </c>
      <c r="B2" s="74" t="s">
        <v>458</v>
      </c>
      <c r="C2" s="49" t="s">
        <v>457</v>
      </c>
      <c r="D2" s="49" t="s">
        <v>456</v>
      </c>
      <c r="E2" s="49" t="s">
        <v>456</v>
      </c>
      <c r="F2" s="76" t="s">
        <v>456</v>
      </c>
      <c r="G2" s="52" t="s">
        <v>455</v>
      </c>
      <c r="H2" s="52" t="s">
        <v>454</v>
      </c>
      <c r="I2" s="52"/>
      <c r="J2" s="49" t="s">
        <v>453</v>
      </c>
      <c r="K2" s="75"/>
      <c r="L2" s="75"/>
    </row>
    <row r="3" spans="1:12" ht="15.5">
      <c r="A3" s="70" t="s">
        <v>452</v>
      </c>
      <c r="B3" s="56"/>
      <c r="C3" s="56"/>
      <c r="D3" s="56"/>
      <c r="E3" s="56"/>
      <c r="F3" s="56"/>
      <c r="G3" s="56"/>
      <c r="H3" s="56"/>
      <c r="I3" s="56"/>
      <c r="J3" s="56"/>
      <c r="K3" s="56"/>
      <c r="L3" s="56"/>
    </row>
    <row r="4" spans="1:12" ht="15.5">
      <c r="A4" s="74"/>
      <c r="B4" s="49"/>
      <c r="C4" s="49"/>
      <c r="D4" s="49"/>
      <c r="E4" s="49"/>
      <c r="F4" s="49"/>
      <c r="G4" s="49"/>
      <c r="H4" s="49"/>
      <c r="I4" s="49"/>
      <c r="J4" s="49"/>
      <c r="K4" s="49"/>
      <c r="L4" s="49"/>
    </row>
    <row r="5" spans="1:12" ht="15.5">
      <c r="A5" s="70" t="s">
        <v>451</v>
      </c>
      <c r="B5" s="56"/>
      <c r="C5" s="56"/>
      <c r="D5" s="56"/>
      <c r="E5" s="56"/>
      <c r="F5" s="56"/>
      <c r="G5" s="56"/>
      <c r="H5" s="56"/>
      <c r="I5" s="56"/>
      <c r="J5" s="56"/>
      <c r="K5" s="56"/>
      <c r="L5" s="56"/>
    </row>
    <row r="6" spans="1:12" ht="15.5">
      <c r="A6" s="73"/>
      <c r="B6" s="60"/>
      <c r="C6" s="73"/>
      <c r="D6" s="63"/>
      <c r="E6" s="60"/>
      <c r="F6" s="61"/>
      <c r="G6" s="60"/>
      <c r="H6" s="73"/>
      <c r="I6" s="73"/>
      <c r="J6" s="72"/>
      <c r="K6" s="60"/>
      <c r="L6" s="71"/>
    </row>
    <row r="7" spans="1:12" ht="15.5">
      <c r="A7" s="70" t="s">
        <v>450</v>
      </c>
      <c r="B7" s="56"/>
      <c r="C7" s="56"/>
      <c r="D7" s="70"/>
      <c r="E7" s="56"/>
      <c r="F7" s="56"/>
      <c r="G7" s="56"/>
      <c r="H7" s="56"/>
      <c r="I7" s="56"/>
      <c r="J7" s="56"/>
      <c r="K7" s="56"/>
      <c r="L7" s="56"/>
    </row>
    <row r="8" spans="1:12" ht="31">
      <c r="A8" s="69">
        <v>320</v>
      </c>
      <c r="B8" s="67" t="s">
        <v>449</v>
      </c>
      <c r="C8" s="49" t="s">
        <v>448</v>
      </c>
      <c r="D8" s="67" t="s">
        <v>447</v>
      </c>
      <c r="E8" s="52" t="s">
        <v>446</v>
      </c>
      <c r="F8" s="52" t="s">
        <v>445</v>
      </c>
      <c r="G8" s="53" t="s">
        <v>380</v>
      </c>
      <c r="H8" s="52" t="s">
        <v>379</v>
      </c>
      <c r="I8" s="53">
        <v>5.0999999999999996</v>
      </c>
      <c r="J8" s="52" t="s">
        <v>444</v>
      </c>
      <c r="K8" s="49"/>
      <c r="L8" s="49"/>
    </row>
    <row r="9" spans="1:12" ht="46.5">
      <c r="A9" s="69">
        <v>321</v>
      </c>
      <c r="B9" s="67" t="s">
        <v>443</v>
      </c>
      <c r="C9" s="49" t="s">
        <v>442</v>
      </c>
      <c r="D9" s="67" t="s">
        <v>441</v>
      </c>
      <c r="E9" s="52" t="s">
        <v>440</v>
      </c>
      <c r="F9" s="52" t="s">
        <v>439</v>
      </c>
      <c r="G9" s="68" t="s">
        <v>438</v>
      </c>
      <c r="H9" s="52" t="s">
        <v>437</v>
      </c>
      <c r="I9" s="53">
        <v>5.0999999999999996</v>
      </c>
      <c r="J9" s="52" t="s">
        <v>378</v>
      </c>
      <c r="K9" s="49"/>
      <c r="L9" s="49"/>
    </row>
    <row r="10" spans="1:12" ht="15.5">
      <c r="A10" s="69">
        <v>322</v>
      </c>
      <c r="B10" s="67" t="s">
        <v>436</v>
      </c>
      <c r="C10" s="49" t="s">
        <v>435</v>
      </c>
      <c r="D10" s="67" t="s">
        <v>434</v>
      </c>
      <c r="E10" s="52" t="s">
        <v>433</v>
      </c>
      <c r="F10" s="52" t="s">
        <v>432</v>
      </c>
      <c r="G10" s="53" t="s">
        <v>431</v>
      </c>
      <c r="H10" s="52" t="s">
        <v>249</v>
      </c>
      <c r="I10" s="53">
        <v>5.0999999999999996</v>
      </c>
      <c r="J10" s="52" t="s">
        <v>430</v>
      </c>
      <c r="K10" s="49"/>
      <c r="L10" s="49"/>
    </row>
    <row r="11" spans="1:12" ht="46.5">
      <c r="A11" s="69">
        <v>323</v>
      </c>
      <c r="B11" s="67" t="s">
        <v>429</v>
      </c>
      <c r="C11" s="49" t="s">
        <v>428</v>
      </c>
      <c r="D11" s="67" t="s">
        <v>427</v>
      </c>
      <c r="E11" s="52" t="s">
        <v>426</v>
      </c>
      <c r="F11" s="52" t="s">
        <v>425</v>
      </c>
      <c r="G11" s="53" t="s">
        <v>223</v>
      </c>
      <c r="H11" s="52" t="s">
        <v>222</v>
      </c>
      <c r="I11" s="53">
        <v>5.0999999999999996</v>
      </c>
      <c r="J11" s="52" t="s">
        <v>378</v>
      </c>
      <c r="K11" s="49"/>
      <c r="L11" s="49"/>
    </row>
    <row r="12" spans="1:12" ht="62">
      <c r="A12" s="69">
        <v>324</v>
      </c>
      <c r="B12" s="67" t="s">
        <v>424</v>
      </c>
      <c r="C12" s="49" t="s">
        <v>423</v>
      </c>
      <c r="D12" s="67" t="s">
        <v>422</v>
      </c>
      <c r="E12" s="52" t="s">
        <v>421</v>
      </c>
      <c r="F12" s="52" t="s">
        <v>420</v>
      </c>
      <c r="G12" s="53" t="s">
        <v>419</v>
      </c>
      <c r="H12" s="52" t="s">
        <v>261</v>
      </c>
      <c r="I12" s="53">
        <v>5.0999999999999996</v>
      </c>
      <c r="J12" s="52" t="s">
        <v>378</v>
      </c>
      <c r="K12" s="49"/>
      <c r="L12" s="49"/>
    </row>
    <row r="13" spans="1:12" ht="46.5">
      <c r="A13" s="69">
        <v>325</v>
      </c>
      <c r="B13" s="67" t="s">
        <v>418</v>
      </c>
      <c r="C13" s="49" t="s">
        <v>417</v>
      </c>
      <c r="D13" s="67" t="s">
        <v>416</v>
      </c>
      <c r="E13" s="52" t="s">
        <v>415</v>
      </c>
      <c r="F13" s="52" t="s">
        <v>414</v>
      </c>
      <c r="G13" s="53" t="s">
        <v>371</v>
      </c>
      <c r="H13" s="52" t="s">
        <v>268</v>
      </c>
      <c r="I13" s="53">
        <v>5.0999999999999996</v>
      </c>
      <c r="J13" s="52" t="s">
        <v>378</v>
      </c>
      <c r="K13" s="49"/>
      <c r="L13" s="49"/>
    </row>
    <row r="14" spans="1:12" ht="46.5">
      <c r="A14" s="69">
        <v>326</v>
      </c>
      <c r="B14" s="67" t="s">
        <v>413</v>
      </c>
      <c r="C14" s="49" t="s">
        <v>412</v>
      </c>
      <c r="D14" s="67" t="s">
        <v>411</v>
      </c>
      <c r="E14" s="52" t="s">
        <v>410</v>
      </c>
      <c r="F14" s="52" t="s">
        <v>409</v>
      </c>
      <c r="G14" s="53" t="s">
        <v>408</v>
      </c>
      <c r="H14" s="52" t="s">
        <v>255</v>
      </c>
      <c r="I14" s="53">
        <v>5.0999999999999996</v>
      </c>
      <c r="J14" s="52" t="s">
        <v>378</v>
      </c>
      <c r="K14" s="49"/>
      <c r="L14" s="49"/>
    </row>
    <row r="15" spans="1:12" ht="46.5">
      <c r="A15" s="69">
        <v>328</v>
      </c>
      <c r="B15" s="67" t="s">
        <v>407</v>
      </c>
      <c r="C15" s="49" t="s">
        <v>406</v>
      </c>
      <c r="D15" s="67" t="s">
        <v>405</v>
      </c>
      <c r="E15" s="52" t="s">
        <v>404</v>
      </c>
      <c r="F15" s="52" t="s">
        <v>403</v>
      </c>
      <c r="G15" s="64" t="s">
        <v>402</v>
      </c>
      <c r="H15" s="52" t="s">
        <v>401</v>
      </c>
      <c r="I15" s="53">
        <v>5.0999999999999996</v>
      </c>
      <c r="J15" s="52" t="s">
        <v>400</v>
      </c>
      <c r="K15" s="49"/>
      <c r="L15" s="49"/>
    </row>
    <row r="16" spans="1:12" ht="46.5">
      <c r="A16" s="69">
        <v>329</v>
      </c>
      <c r="B16" s="67" t="s">
        <v>399</v>
      </c>
      <c r="C16" s="49" t="s">
        <v>398</v>
      </c>
      <c r="D16" s="67" t="s">
        <v>397</v>
      </c>
      <c r="E16" s="52" t="s">
        <v>396</v>
      </c>
      <c r="F16" s="52" t="s">
        <v>395</v>
      </c>
      <c r="G16" s="53" t="s">
        <v>394</v>
      </c>
      <c r="H16" s="52" t="s">
        <v>249</v>
      </c>
      <c r="I16" s="53">
        <v>5.0999999999999996</v>
      </c>
      <c r="J16" s="52" t="s">
        <v>393</v>
      </c>
      <c r="K16" s="49"/>
      <c r="L16" s="49"/>
    </row>
    <row r="17" spans="1:12" ht="31">
      <c r="A17" s="69">
        <v>330</v>
      </c>
      <c r="B17" s="67" t="s">
        <v>392</v>
      </c>
      <c r="C17" s="49" t="s">
        <v>391</v>
      </c>
      <c r="D17" s="67" t="s">
        <v>390</v>
      </c>
      <c r="E17" s="52" t="s">
        <v>389</v>
      </c>
      <c r="F17" s="52" t="s">
        <v>388</v>
      </c>
      <c r="G17" s="53" t="s">
        <v>387</v>
      </c>
      <c r="H17" s="52" t="s">
        <v>386</v>
      </c>
      <c r="I17" s="53">
        <v>5.0999999999999996</v>
      </c>
      <c r="J17" s="52" t="s">
        <v>378</v>
      </c>
      <c r="K17" s="49"/>
      <c r="L17" s="49"/>
    </row>
    <row r="18" spans="1:12" ht="15.5">
      <c r="A18" s="69">
        <v>331</v>
      </c>
      <c r="B18" s="67" t="s">
        <v>385</v>
      </c>
      <c r="C18" s="49" t="s">
        <v>384</v>
      </c>
      <c r="D18" s="67" t="s">
        <v>383</v>
      </c>
      <c r="E18" s="52" t="s">
        <v>382</v>
      </c>
      <c r="F18" s="52" t="s">
        <v>381</v>
      </c>
      <c r="G18" s="53" t="s">
        <v>380</v>
      </c>
      <c r="H18" s="52" t="s">
        <v>379</v>
      </c>
      <c r="I18" s="53">
        <v>5.0999999999999996</v>
      </c>
      <c r="J18" s="52" t="s">
        <v>378</v>
      </c>
      <c r="K18" s="49"/>
      <c r="L18" s="49"/>
    </row>
    <row r="19" spans="1:12" ht="15.5">
      <c r="A19" s="65"/>
      <c r="B19" s="63"/>
      <c r="C19" s="49"/>
      <c r="D19" s="63"/>
      <c r="E19" s="63"/>
      <c r="F19" s="52"/>
      <c r="G19" s="49"/>
      <c r="H19" s="63"/>
      <c r="I19" s="63"/>
      <c r="J19" s="50"/>
      <c r="K19" s="63"/>
      <c r="L19" s="59"/>
    </row>
    <row r="20" spans="1:12" ht="15.5">
      <c r="A20" s="58" t="s">
        <v>377</v>
      </c>
      <c r="B20" s="57"/>
      <c r="C20" s="57"/>
      <c r="D20" s="57"/>
      <c r="E20" s="57"/>
      <c r="F20" s="57"/>
      <c r="G20" s="57"/>
      <c r="H20" s="57"/>
      <c r="I20" s="57"/>
      <c r="J20" s="57"/>
      <c r="K20" s="57"/>
      <c r="L20" s="56"/>
    </row>
    <row r="21" spans="1:12" ht="31">
      <c r="A21" s="62">
        <v>340</v>
      </c>
      <c r="B21" s="60" t="s">
        <v>376</v>
      </c>
      <c r="C21" s="49" t="s">
        <v>375</v>
      </c>
      <c r="D21" s="50" t="s">
        <v>374</v>
      </c>
      <c r="E21" s="61" t="s">
        <v>373</v>
      </c>
      <c r="F21" s="61" t="s">
        <v>372</v>
      </c>
      <c r="G21" s="68" t="s">
        <v>371</v>
      </c>
      <c r="H21" s="52" t="s">
        <v>268</v>
      </c>
      <c r="I21" s="60" t="s">
        <v>370</v>
      </c>
      <c r="J21" s="61"/>
      <c r="K21" s="49"/>
      <c r="L21" s="49"/>
    </row>
    <row r="22" spans="1:12" ht="31">
      <c r="A22" s="62">
        <v>342</v>
      </c>
      <c r="B22" s="63" t="s">
        <v>369</v>
      </c>
      <c r="C22" s="49" t="s">
        <v>368</v>
      </c>
      <c r="D22" s="60" t="s">
        <v>367</v>
      </c>
      <c r="E22" s="54" t="s">
        <v>366</v>
      </c>
      <c r="F22" s="54" t="s">
        <v>365</v>
      </c>
      <c r="G22" s="53" t="s">
        <v>364</v>
      </c>
      <c r="H22" s="52" t="s">
        <v>222</v>
      </c>
      <c r="I22" s="54" t="s">
        <v>363</v>
      </c>
      <c r="J22" s="51" t="s">
        <v>362</v>
      </c>
      <c r="K22" s="49"/>
      <c r="L22" s="49"/>
    </row>
    <row r="23" spans="1:12" ht="15.5">
      <c r="A23" s="65"/>
      <c r="B23" s="63"/>
      <c r="C23" s="49"/>
      <c r="D23" s="63"/>
      <c r="E23" s="63"/>
      <c r="F23" s="52"/>
      <c r="G23" s="49"/>
      <c r="H23" s="63"/>
      <c r="I23" s="63"/>
      <c r="J23" s="50"/>
      <c r="K23" s="63"/>
      <c r="L23" s="59"/>
    </row>
    <row r="24" spans="1:12" ht="15.5">
      <c r="A24" s="58" t="s">
        <v>361</v>
      </c>
      <c r="B24" s="57"/>
      <c r="C24" s="57"/>
      <c r="D24" s="57"/>
      <c r="E24" s="57"/>
      <c r="F24" s="57"/>
      <c r="G24" s="57"/>
      <c r="H24" s="57"/>
      <c r="I24" s="57"/>
      <c r="J24" s="57"/>
      <c r="K24" s="57"/>
      <c r="L24" s="56"/>
    </row>
    <row r="25" spans="1:12" ht="46.5">
      <c r="A25" s="62">
        <v>345</v>
      </c>
      <c r="B25" s="63" t="s">
        <v>360</v>
      </c>
      <c r="C25" s="49" t="s">
        <v>359</v>
      </c>
      <c r="D25" s="60" t="s">
        <v>358</v>
      </c>
      <c r="E25" s="54" t="s">
        <v>357</v>
      </c>
      <c r="F25" s="54" t="s">
        <v>356</v>
      </c>
      <c r="G25" s="53" t="s">
        <v>355</v>
      </c>
      <c r="H25" s="52" t="s">
        <v>261</v>
      </c>
      <c r="I25" s="54" t="s">
        <v>354</v>
      </c>
      <c r="J25" s="51"/>
      <c r="K25" s="49"/>
      <c r="L25" s="49"/>
    </row>
    <row r="26" spans="1:12" ht="15.5">
      <c r="A26" s="65"/>
      <c r="B26" s="63"/>
      <c r="C26" s="49"/>
      <c r="D26" s="63"/>
      <c r="E26" s="63"/>
      <c r="F26" s="52"/>
      <c r="G26" s="49"/>
      <c r="H26" s="63"/>
      <c r="I26" s="63"/>
      <c r="J26" s="50"/>
      <c r="K26" s="63"/>
      <c r="L26" s="59"/>
    </row>
    <row r="27" spans="1:12" ht="15.5">
      <c r="A27" s="58" t="s">
        <v>353</v>
      </c>
      <c r="B27" s="57"/>
      <c r="C27" s="57"/>
      <c r="D27" s="57"/>
      <c r="E27" s="57"/>
      <c r="F27" s="57"/>
      <c r="G27" s="57"/>
      <c r="H27" s="57"/>
      <c r="I27" s="57"/>
      <c r="J27" s="57"/>
      <c r="K27" s="57"/>
      <c r="L27" s="56"/>
    </row>
    <row r="28" spans="1:12" ht="31">
      <c r="A28" s="62">
        <v>346</v>
      </c>
      <c r="B28" s="63" t="s">
        <v>352</v>
      </c>
      <c r="C28" s="49" t="s">
        <v>351</v>
      </c>
      <c r="D28" s="60" t="s">
        <v>335</v>
      </c>
      <c r="E28" s="54" t="s">
        <v>350</v>
      </c>
      <c r="F28" s="54" t="s">
        <v>349</v>
      </c>
      <c r="G28" s="53" t="s">
        <v>348</v>
      </c>
      <c r="H28" s="49" t="s">
        <v>347</v>
      </c>
      <c r="I28" s="54" t="s">
        <v>330</v>
      </c>
      <c r="J28" s="51" t="s">
        <v>346</v>
      </c>
      <c r="K28" s="49"/>
      <c r="L28" s="49"/>
    </row>
    <row r="29" spans="1:12" ht="46.5">
      <c r="A29" s="62">
        <v>347</v>
      </c>
      <c r="B29" s="63" t="s">
        <v>345</v>
      </c>
      <c r="C29" s="49" t="s">
        <v>344</v>
      </c>
      <c r="D29" s="61" t="s">
        <v>343</v>
      </c>
      <c r="E29" s="54" t="s">
        <v>342</v>
      </c>
      <c r="F29" s="54" t="s">
        <v>341</v>
      </c>
      <c r="G29" s="53" t="s">
        <v>340</v>
      </c>
      <c r="H29" s="52" t="s">
        <v>339</v>
      </c>
      <c r="I29" s="54" t="s">
        <v>330</v>
      </c>
      <c r="J29" s="51" t="s">
        <v>338</v>
      </c>
      <c r="K29" s="49"/>
      <c r="L29" s="49"/>
    </row>
    <row r="30" spans="1:12" ht="31">
      <c r="A30" s="62">
        <v>348</v>
      </c>
      <c r="B30" s="63" t="s">
        <v>337</v>
      </c>
      <c r="C30" s="49" t="s">
        <v>336</v>
      </c>
      <c r="D30" s="60" t="s">
        <v>335</v>
      </c>
      <c r="E30" s="54" t="s">
        <v>334</v>
      </c>
      <c r="F30" s="54" t="s">
        <v>333</v>
      </c>
      <c r="G30" s="53" t="s">
        <v>332</v>
      </c>
      <c r="H30" s="49" t="s">
        <v>331</v>
      </c>
      <c r="I30" s="54" t="s">
        <v>330</v>
      </c>
      <c r="J30" s="51" t="s">
        <v>329</v>
      </c>
      <c r="K30" s="49"/>
      <c r="L30" s="49"/>
    </row>
    <row r="31" spans="1:12" ht="31">
      <c r="A31" s="62">
        <v>349</v>
      </c>
      <c r="B31" s="63" t="s">
        <v>328</v>
      </c>
      <c r="C31" s="49" t="s">
        <v>327</v>
      </c>
      <c r="D31" s="60" t="s">
        <v>326</v>
      </c>
      <c r="E31" s="54" t="s">
        <v>325</v>
      </c>
      <c r="F31" s="54" t="s">
        <v>324</v>
      </c>
      <c r="G31" s="68" t="s">
        <v>323</v>
      </c>
      <c r="H31" s="52" t="s">
        <v>322</v>
      </c>
      <c r="I31" s="54" t="s">
        <v>321</v>
      </c>
      <c r="J31" s="50" t="s">
        <v>320</v>
      </c>
      <c r="K31" s="49"/>
      <c r="L31" s="49"/>
    </row>
    <row r="32" spans="1:12" ht="31">
      <c r="A32" s="62">
        <v>350</v>
      </c>
      <c r="B32" s="63" t="s">
        <v>319</v>
      </c>
      <c r="C32" s="49" t="s">
        <v>318</v>
      </c>
      <c r="D32" s="60" t="s">
        <v>317</v>
      </c>
      <c r="E32" s="54" t="s">
        <v>316</v>
      </c>
      <c r="F32" s="54" t="s">
        <v>315</v>
      </c>
      <c r="G32" s="53" t="s">
        <v>314</v>
      </c>
      <c r="H32" s="52" t="s">
        <v>228</v>
      </c>
      <c r="I32" s="54" t="s">
        <v>313</v>
      </c>
      <c r="J32" s="63"/>
      <c r="K32" s="49"/>
      <c r="L32" s="49"/>
    </row>
    <row r="33" spans="1:12" ht="15.5">
      <c r="A33" s="62">
        <v>351</v>
      </c>
      <c r="B33" s="63" t="s">
        <v>312</v>
      </c>
      <c r="C33" s="49" t="s">
        <v>311</v>
      </c>
      <c r="D33" s="60" t="s">
        <v>310</v>
      </c>
      <c r="E33" s="54" t="s">
        <v>309</v>
      </c>
      <c r="F33" s="54" t="s">
        <v>308</v>
      </c>
      <c r="G33" s="53" t="s">
        <v>307</v>
      </c>
      <c r="H33" s="52" t="s">
        <v>306</v>
      </c>
      <c r="I33" s="54" t="s">
        <v>305</v>
      </c>
      <c r="J33" s="63"/>
      <c r="K33" s="49"/>
      <c r="L33" s="49"/>
    </row>
    <row r="34" spans="1:12" ht="31">
      <c r="A34" s="62">
        <v>356</v>
      </c>
      <c r="B34" s="63" t="s">
        <v>304</v>
      </c>
      <c r="C34" s="49" t="s">
        <v>303</v>
      </c>
      <c r="D34" s="60" t="s">
        <v>302</v>
      </c>
      <c r="E34" s="54" t="s">
        <v>301</v>
      </c>
      <c r="F34" s="54" t="s">
        <v>300</v>
      </c>
      <c r="G34" s="53" t="s">
        <v>299</v>
      </c>
      <c r="H34" s="52" t="s">
        <v>298</v>
      </c>
      <c r="I34" s="54" t="s">
        <v>297</v>
      </c>
      <c r="J34" s="63"/>
      <c r="K34" s="49"/>
      <c r="L34" s="49"/>
    </row>
    <row r="35" spans="1:12" ht="15.5">
      <c r="A35" s="65"/>
      <c r="B35" s="63"/>
      <c r="C35" s="49"/>
      <c r="D35" s="63"/>
      <c r="E35" s="63"/>
      <c r="F35" s="52"/>
      <c r="G35" s="49"/>
      <c r="H35" s="63"/>
      <c r="I35" s="63"/>
      <c r="J35" s="50"/>
      <c r="K35" s="63"/>
      <c r="L35" s="59"/>
    </row>
    <row r="36" spans="1:12" ht="15.5">
      <c r="A36" s="58" t="s">
        <v>296</v>
      </c>
      <c r="B36" s="57"/>
      <c r="C36" s="57"/>
      <c r="D36" s="57"/>
      <c r="E36" s="57"/>
      <c r="F36" s="57"/>
      <c r="G36" s="57"/>
      <c r="H36" s="57"/>
      <c r="I36" s="57"/>
      <c r="J36" s="57"/>
      <c r="K36" s="57"/>
      <c r="L36" s="56"/>
    </row>
    <row r="37" spans="1:12" ht="31">
      <c r="A37" s="62">
        <v>352</v>
      </c>
      <c r="B37" s="63" t="s">
        <v>295</v>
      </c>
      <c r="C37" s="49" t="s">
        <v>294</v>
      </c>
      <c r="D37" s="60" t="s">
        <v>293</v>
      </c>
      <c r="E37" s="54" t="s">
        <v>292</v>
      </c>
      <c r="F37" s="54" t="s">
        <v>291</v>
      </c>
      <c r="G37" s="53" t="s">
        <v>290</v>
      </c>
      <c r="H37" s="52" t="s">
        <v>243</v>
      </c>
      <c r="I37" s="54" t="s">
        <v>289</v>
      </c>
      <c r="J37" s="51"/>
      <c r="K37" s="49"/>
      <c r="L37" s="49"/>
    </row>
    <row r="38" spans="1:12" ht="31">
      <c r="A38" s="62">
        <v>353</v>
      </c>
      <c r="B38" s="63" t="s">
        <v>288</v>
      </c>
      <c r="C38" s="49" t="s">
        <v>287</v>
      </c>
      <c r="D38" s="60" t="s">
        <v>281</v>
      </c>
      <c r="E38" s="54" t="s">
        <v>286</v>
      </c>
      <c r="F38" s="54" t="s">
        <v>285</v>
      </c>
      <c r="G38" s="53" t="s">
        <v>284</v>
      </c>
      <c r="H38" s="52" t="s">
        <v>255</v>
      </c>
      <c r="I38" s="54" t="s">
        <v>276</v>
      </c>
      <c r="J38" s="51" t="s">
        <v>275</v>
      </c>
      <c r="K38" s="49"/>
      <c r="L38" s="49"/>
    </row>
    <row r="39" spans="1:12" ht="31">
      <c r="A39" s="62">
        <v>354</v>
      </c>
      <c r="B39" s="63" t="s">
        <v>283</v>
      </c>
      <c r="C39" s="49" t="s">
        <v>282</v>
      </c>
      <c r="D39" s="60" t="s">
        <v>281</v>
      </c>
      <c r="E39" s="54" t="s">
        <v>280</v>
      </c>
      <c r="F39" s="54" t="s">
        <v>279</v>
      </c>
      <c r="G39" s="53" t="s">
        <v>278</v>
      </c>
      <c r="H39" s="52" t="s">
        <v>277</v>
      </c>
      <c r="I39" s="54" t="s">
        <v>276</v>
      </c>
      <c r="J39" s="51" t="s">
        <v>275</v>
      </c>
      <c r="K39" s="49"/>
      <c r="L39" s="49"/>
    </row>
    <row r="40" spans="1:12" ht="31">
      <c r="A40" s="62">
        <v>355</v>
      </c>
      <c r="B40" s="67" t="s">
        <v>274</v>
      </c>
      <c r="C40" s="49" t="s">
        <v>273</v>
      </c>
      <c r="D40" s="67" t="s">
        <v>272</v>
      </c>
      <c r="E40" s="52" t="s">
        <v>271</v>
      </c>
      <c r="F40" s="52" t="s">
        <v>270</v>
      </c>
      <c r="G40" s="53" t="s">
        <v>269</v>
      </c>
      <c r="H40" s="52" t="s">
        <v>268</v>
      </c>
      <c r="I40" s="54" t="s">
        <v>267</v>
      </c>
      <c r="J40" s="66"/>
      <c r="K40" s="49"/>
      <c r="L40" s="49"/>
    </row>
    <row r="41" spans="1:12" ht="15.5">
      <c r="A41" s="65"/>
      <c r="B41" s="63"/>
      <c r="C41" s="49"/>
      <c r="D41" s="63"/>
      <c r="E41" s="63"/>
      <c r="F41" s="52"/>
      <c r="G41" s="49"/>
      <c r="H41" s="63"/>
      <c r="I41" s="63"/>
      <c r="J41" s="50"/>
      <c r="K41" s="63"/>
      <c r="L41" s="59"/>
    </row>
    <row r="42" spans="1:12" ht="15.5">
      <c r="A42" s="58" t="s">
        <v>14</v>
      </c>
      <c r="B42" s="57"/>
      <c r="C42" s="57"/>
      <c r="D42" s="57"/>
      <c r="E42" s="57"/>
      <c r="F42" s="57"/>
      <c r="G42" s="57"/>
      <c r="H42" s="57"/>
      <c r="I42" s="57"/>
      <c r="J42" s="57"/>
      <c r="K42" s="57"/>
      <c r="L42" s="56"/>
    </row>
    <row r="43" spans="1:12" ht="15.5">
      <c r="A43" s="62">
        <v>360</v>
      </c>
      <c r="B43" s="63" t="s">
        <v>266</v>
      </c>
      <c r="C43" s="49" t="s">
        <v>265</v>
      </c>
      <c r="D43" s="60" t="s">
        <v>13</v>
      </c>
      <c r="E43" s="54" t="s">
        <v>264</v>
      </c>
      <c r="F43" s="54" t="s">
        <v>263</v>
      </c>
      <c r="G43" s="53" t="s">
        <v>262</v>
      </c>
      <c r="H43" s="52" t="s">
        <v>261</v>
      </c>
      <c r="I43" s="54" t="s">
        <v>235</v>
      </c>
      <c r="J43" s="51"/>
      <c r="K43" s="49"/>
      <c r="L43" s="49"/>
    </row>
    <row r="44" spans="1:12" ht="31">
      <c r="A44" s="62">
        <v>361</v>
      </c>
      <c r="B44" s="63" t="s">
        <v>260</v>
      </c>
      <c r="C44" s="49" t="s">
        <v>259</v>
      </c>
      <c r="D44" s="60" t="s">
        <v>13</v>
      </c>
      <c r="E44" s="54" t="s">
        <v>258</v>
      </c>
      <c r="F44" s="54" t="s">
        <v>257</v>
      </c>
      <c r="G44" s="53" t="s">
        <v>256</v>
      </c>
      <c r="H44" s="52" t="s">
        <v>255</v>
      </c>
      <c r="I44" s="54" t="s">
        <v>235</v>
      </c>
      <c r="J44" s="51"/>
      <c r="K44" s="49"/>
      <c r="L44" s="49"/>
    </row>
    <row r="45" spans="1:12" ht="31">
      <c r="A45" s="62">
        <v>362</v>
      </c>
      <c r="B45" s="63" t="s">
        <v>254</v>
      </c>
      <c r="C45" s="49" t="s">
        <v>253</v>
      </c>
      <c r="D45" s="60" t="s">
        <v>13</v>
      </c>
      <c r="E45" s="54" t="s">
        <v>252</v>
      </c>
      <c r="F45" s="54" t="s">
        <v>251</v>
      </c>
      <c r="G45" s="64" t="s">
        <v>250</v>
      </c>
      <c r="H45" s="52" t="s">
        <v>249</v>
      </c>
      <c r="I45" s="54" t="s">
        <v>235</v>
      </c>
      <c r="J45" s="51"/>
      <c r="K45" s="49"/>
      <c r="L45" s="49"/>
    </row>
    <row r="46" spans="1:12" ht="31">
      <c r="A46" s="62">
        <v>363</v>
      </c>
      <c r="B46" s="63" t="s">
        <v>248</v>
      </c>
      <c r="C46" s="49" t="s">
        <v>247</v>
      </c>
      <c r="D46" s="60" t="s">
        <v>13</v>
      </c>
      <c r="E46" s="54" t="s">
        <v>246</v>
      </c>
      <c r="F46" s="54" t="s">
        <v>245</v>
      </c>
      <c r="G46" s="53" t="s">
        <v>244</v>
      </c>
      <c r="H46" s="52" t="s">
        <v>243</v>
      </c>
      <c r="I46" s="54" t="s">
        <v>235</v>
      </c>
      <c r="J46" s="51"/>
      <c r="K46" s="49"/>
      <c r="L46" s="49"/>
    </row>
    <row r="47" spans="1:12" ht="31">
      <c r="A47" s="62">
        <v>364</v>
      </c>
      <c r="B47" s="63" t="s">
        <v>242</v>
      </c>
      <c r="C47" s="49" t="s">
        <v>241</v>
      </c>
      <c r="D47" s="61" t="s">
        <v>240</v>
      </c>
      <c r="E47" s="54" t="s">
        <v>239</v>
      </c>
      <c r="F47" s="54" t="s">
        <v>238</v>
      </c>
      <c r="G47" s="53" t="s">
        <v>237</v>
      </c>
      <c r="H47" s="52" t="s">
        <v>236</v>
      </c>
      <c r="I47" s="54" t="s">
        <v>235</v>
      </c>
      <c r="J47" s="51"/>
      <c r="K47" s="49"/>
      <c r="L47" s="49"/>
    </row>
    <row r="48" spans="1:12" ht="15.5">
      <c r="A48" s="62"/>
      <c r="B48" s="60"/>
      <c r="C48" s="51"/>
      <c r="D48" s="60"/>
      <c r="E48" s="60"/>
      <c r="F48" s="54"/>
      <c r="G48" s="60"/>
      <c r="H48" s="60"/>
      <c r="I48" s="60"/>
      <c r="J48" s="61"/>
      <c r="K48" s="60"/>
      <c r="L48" s="59"/>
    </row>
    <row r="49" spans="1:12" ht="15.5">
      <c r="A49" s="58" t="s">
        <v>234</v>
      </c>
      <c r="B49" s="57"/>
      <c r="C49" s="57"/>
      <c r="D49" s="57"/>
      <c r="E49" s="57"/>
      <c r="F49" s="57"/>
      <c r="G49" s="57"/>
      <c r="H49" s="57"/>
      <c r="I49" s="57"/>
      <c r="J49" s="57"/>
      <c r="K49" s="57"/>
      <c r="L49" s="56"/>
    </row>
    <row r="50" spans="1:12" ht="15.5">
      <c r="A50" s="55">
        <v>370</v>
      </c>
      <c r="B50" s="51" t="s">
        <v>233</v>
      </c>
      <c r="C50" s="49" t="s">
        <v>232</v>
      </c>
      <c r="D50" s="51" t="s">
        <v>231</v>
      </c>
      <c r="E50" s="51" t="s">
        <v>230</v>
      </c>
      <c r="F50" s="54" t="s">
        <v>229</v>
      </c>
      <c r="G50" s="53" t="s">
        <v>23</v>
      </c>
      <c r="H50" s="52" t="s">
        <v>228</v>
      </c>
      <c r="I50" s="51">
        <v>11.1</v>
      </c>
      <c r="J50" s="50"/>
      <c r="K50" s="49"/>
      <c r="L50" s="49"/>
    </row>
    <row r="51" spans="1:12" ht="15.5">
      <c r="A51" s="55">
        <v>371</v>
      </c>
      <c r="B51" s="51" t="s">
        <v>227</v>
      </c>
      <c r="C51" s="49" t="s">
        <v>226</v>
      </c>
      <c r="D51" s="51" t="s">
        <v>225</v>
      </c>
      <c r="E51" s="51" t="s">
        <v>224</v>
      </c>
      <c r="F51" s="54">
        <v>12.1</v>
      </c>
      <c r="G51" s="53" t="s">
        <v>223</v>
      </c>
      <c r="H51" s="52" t="s">
        <v>222</v>
      </c>
      <c r="I51" s="51">
        <v>12.1</v>
      </c>
      <c r="J51" s="50"/>
      <c r="K51" s="49"/>
      <c r="L51" s="49"/>
    </row>
  </sheetData>
  <conditionalFormatting sqref="A2:L51">
    <cfRule type="expression" dxfId="0" priority="1">
      <formula>AND($O2&lt;&gt;"",$O2&lt;&gt;TRUE)</formula>
    </cfRule>
  </conditionalFormatting>
  <pageMargins left="0.7" right="0.7" top="0.75" bottom="0.75" header="0.3" footer="0.3"/>
  <legacyDrawing r:id="rId1"/>
</worksheet>
</file>

<file path=docMetadata/LabelInfo.xml><?xml version="1.0" encoding="utf-8"?>
<clbl:labelList xmlns:clbl="http://schemas.microsoft.com/office/2020/mipLabelMetadata">
  <clbl:label id="{08f6f869-1ed0-46b3-a227-1d3e52347e28}" enabled="1" method="Standard" siteId="{98e9ba89-e1a1-4e38-9007-8bdabc25de1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session</vt:lpstr>
      <vt:lpstr>Shan session</vt:lpstr>
      <vt:lpstr>Gene session</vt:lpstr>
    </vt:vector>
  </TitlesOfParts>
  <Company>Qualcomm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 Fong</dc:creator>
  <cp:lastModifiedBy>KS</cp:lastModifiedBy>
  <dcterms:created xsi:type="dcterms:W3CDTF">2024-05-14T16:27:49Z</dcterms:created>
  <dcterms:modified xsi:type="dcterms:W3CDTF">2026-10-05T07:13:43Z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1744641949</vt:lpwstr>
  </property>
</Properties>
</file>